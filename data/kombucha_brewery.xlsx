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Recipe_BOM" sheetId="4" state="visible" r:id="rId4"/>
    <sheet xmlns:r="http://schemas.openxmlformats.org/officeDocument/2006/relationships" name="Fermentation_Tanks" sheetId="5" state="visible" r:id="rId5"/>
    <sheet xmlns:r="http://schemas.openxmlformats.org/officeDocument/2006/relationships" name="Bottling_Line" sheetId="6" state="visible" r:id="rId6"/>
    <sheet xmlns:r="http://schemas.openxmlformats.org/officeDocument/2006/relationships" name="Production_Plan" sheetId="7" state="visible" r:id="rId7"/>
    <sheet xmlns:r="http://schemas.openxmlformats.org/officeDocument/2006/relationships" name="Actual_Production" sheetId="8" state="visible" r:id="rId8"/>
    <sheet xmlns:r="http://schemas.openxmlformats.org/officeDocument/2006/relationships" name="README" sheetId="9" state="visible" r:id="rId9"/>
    <sheet xmlns:r="http://schemas.openxmlformats.org/officeDocument/2006/relationships" name="Bottleneck_Report" sheetId="10" state="visible" r:id="rId10"/>
    <sheet xmlns:r="http://schemas.openxmlformats.org/officeDocument/2006/relationships" name="Ingredient_Ale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color rgb="00FFFFFF"/>
      <sz val="11"/>
    </font>
    <font>
      <name val="Arial"/>
      <color rgb="00333333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FF2E75B6"/>
      <sz val="20"/>
    </font>
    <font>
      <name val="Arial"/>
      <b val="1"/>
      <color rgb="00375623"/>
      <sz val="20"/>
    </font>
    <font>
      <name val="Arial"/>
      <b val="1"/>
      <color rgb="00BF5700"/>
      <sz val="20"/>
    </font>
    <font>
      <name val="Arial"/>
      <b val="1"/>
      <color rgb="00C00000"/>
      <sz val="20"/>
    </font>
  </fonts>
  <fills count="1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FE599"/>
      </patternFill>
    </fill>
    <fill>
      <patternFill patternType="solid">
        <fgColor rgb="00C00000"/>
      </patternFill>
    </fill>
    <fill>
      <patternFill patternType="solid">
        <fgColor rgb="00D6E4F0"/>
      </patternFill>
    </fill>
    <fill>
      <patternFill patternType="solid">
        <fgColor rgb="FF2E75B6"/>
      </patternFill>
    </fill>
    <fill>
      <patternFill patternType="solid">
        <fgColor rgb="00F8F8F8"/>
      </patternFill>
    </fill>
    <fill>
      <patternFill patternType="solid">
        <fgColor rgb="00375623"/>
      </patternFill>
    </fill>
    <fill>
      <patternFill patternType="solid">
        <fgColor rgb="00BF570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4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 vertical="bottom"/>
    </xf>
    <xf numFmtId="0" fontId="10" fillId="16" borderId="0" applyAlignment="1" pivotButton="0" quotePrefix="0" xfId="0">
      <alignment horizontal="center" vertical="bottom"/>
    </xf>
    <xf numFmtId="0" fontId="10" fillId="17" borderId="0" applyAlignment="1" pivotButton="0" quotePrefix="0" xfId="0">
      <alignment horizontal="center" vertical="bottom"/>
    </xf>
    <xf numFmtId="0" fontId="10" fillId="12" borderId="0" applyAlignment="1" pivotButton="0" quotePrefix="0" xfId="0">
      <alignment horizontal="center" vertical="bottom"/>
    </xf>
    <xf numFmtId="0" fontId="11" fillId="15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11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8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3" customWidth="1" min="5" max="5"/>
    <col width="18" customWidth="1" min="6" max="6"/>
    <col width="12" customWidth="1" min="7" max="7"/>
    <col width="15" customWidth="1" min="8" max="8"/>
  </cols>
  <sheetData>
    <row r="1" ht="42" customHeight="1">
      <c r="A1" s="14" t="inlineStr">
        <is>
          <t>🍵  KOMBUCHA BREWERY  |  PRODUCTION PLANNING DASHBOARD</t>
        </is>
      </c>
    </row>
    <row r="2">
      <c r="A2" s="15" t="inlineStr">
        <is>
          <t>Generated: March 15, 2026  05:23</t>
        </is>
      </c>
    </row>
    <row r="3" ht="8" customHeight="1"/>
    <row r="4" ht="30" customHeight="1">
      <c r="A4" s="16" t="inlineStr">
        <is>
          <t>Total Batches</t>
        </is>
      </c>
      <c r="B4" s="17" t="inlineStr">
        <is>
          <t>On Schedule</t>
        </is>
      </c>
      <c r="C4" s="18" t="inlineStr">
        <is>
          <t>At Risk</t>
        </is>
      </c>
      <c r="D4" s="19" t="inlineStr">
        <is>
          <t>Unassigned</t>
        </is>
      </c>
      <c r="E4" s="19" t="inlineStr">
        <is>
          <t>Alerts</t>
        </is>
      </c>
      <c r="F4" s="18" t="inlineStr">
        <is>
          <t>Low Stock Items</t>
        </is>
      </c>
    </row>
    <row r="5" ht="34" customHeight="1">
      <c r="A5" s="20" t="n">
        <v>14</v>
      </c>
      <c r="B5" s="21" t="n">
        <v>6</v>
      </c>
      <c r="C5" s="22" t="n">
        <v>8</v>
      </c>
      <c r="D5" s="23" t="n">
        <v>0</v>
      </c>
      <c r="E5" s="23" t="n">
        <v>13</v>
      </c>
      <c r="F5" s="22" t="n">
        <v>0</v>
      </c>
    </row>
    <row r="6" ht="8" customHeight="1"/>
    <row r="7" ht="12" customHeight="1"/>
    <row r="8" ht="24" customHeight="1">
      <c r="A8" s="24" t="inlineStr">
        <is>
          <t>Flavor</t>
        </is>
      </c>
      <c r="B8" s="24" t="inlineStr">
        <is>
          <t>Batch (L)</t>
        </is>
      </c>
      <c r="C8" s="24" t="inlineStr">
        <is>
          <t>Tank</t>
        </is>
      </c>
      <c r="D8" s="24" t="inlineStr">
        <is>
          <t>Ferm. Start</t>
        </is>
      </c>
      <c r="E8" s="24" t="inlineStr">
        <is>
          <t>Ferm. End</t>
        </is>
      </c>
      <c r="F8" s="24" t="inlineStr">
        <is>
          <t>Bottling Date</t>
        </is>
      </c>
      <c r="G8" s="24" t="inlineStr">
        <is>
          <t>Bottles</t>
        </is>
      </c>
      <c r="H8" s="24" t="inlineStr">
        <is>
          <t>Status</t>
        </is>
      </c>
    </row>
    <row r="9" ht="18" customHeight="1">
      <c r="A9" s="25" t="inlineStr">
        <is>
          <t>Original Kombucha</t>
        </is>
      </c>
      <c r="B9" s="25" t="n">
        <v>200</v>
      </c>
      <c r="C9" s="25" t="inlineStr">
        <is>
          <t>T-01</t>
        </is>
      </c>
      <c r="D9" s="25" t="inlineStr">
        <is>
          <t>2026-03-15</t>
        </is>
      </c>
      <c r="E9" s="25" t="inlineStr">
        <is>
          <t>2026-03-25</t>
        </is>
      </c>
      <c r="F9" s="25" t="inlineStr">
        <is>
          <t>2026-03-26</t>
        </is>
      </c>
      <c r="G9" s="25" t="n">
        <v>563</v>
      </c>
      <c r="H9" s="26" t="inlineStr">
        <is>
          <t>ON_SCHEDULE</t>
        </is>
      </c>
    </row>
    <row r="10" ht="18" customHeight="1">
      <c r="A10" s="27" t="inlineStr">
        <is>
          <t>Original Kombucha</t>
        </is>
      </c>
      <c r="B10" s="27" t="n">
        <v>200</v>
      </c>
      <c r="C10" s="27" t="inlineStr">
        <is>
          <t>T-02</t>
        </is>
      </c>
      <c r="D10" s="27" t="inlineStr">
        <is>
          <t>2026-03-15</t>
        </is>
      </c>
      <c r="E10" s="27" t="inlineStr">
        <is>
          <t>2026-03-25</t>
        </is>
      </c>
      <c r="F10" s="27" t="inlineStr">
        <is>
          <t>2026-03-26</t>
        </is>
      </c>
      <c r="G10" s="27" t="n">
        <v>563</v>
      </c>
      <c r="H10" s="26" t="inlineStr">
        <is>
          <t>ON_SCHEDULE</t>
        </is>
      </c>
    </row>
    <row r="11" ht="18" customHeight="1">
      <c r="A11" s="25" t="inlineStr">
        <is>
          <t>Original Kombucha</t>
        </is>
      </c>
      <c r="B11" s="25" t="n">
        <v>200</v>
      </c>
      <c r="C11" s="25" t="inlineStr">
        <is>
          <t>T-07</t>
        </is>
      </c>
      <c r="D11" s="25" t="inlineStr">
        <is>
          <t>2026-03-15</t>
        </is>
      </c>
      <c r="E11" s="25" t="inlineStr">
        <is>
          <t>2026-03-25</t>
        </is>
      </c>
      <c r="F11" s="25" t="inlineStr">
        <is>
          <t>2026-03-26</t>
        </is>
      </c>
      <c r="G11" s="25" t="n">
        <v>563</v>
      </c>
      <c r="H11" s="26" t="inlineStr">
        <is>
          <t>ON_SCHEDULE</t>
        </is>
      </c>
    </row>
    <row r="12" ht="18" customHeight="1">
      <c r="A12" s="27" t="inlineStr">
        <is>
          <t>Original Kombucha</t>
        </is>
      </c>
      <c r="B12" s="27" t="n">
        <v>200</v>
      </c>
      <c r="C12" s="27" t="inlineStr">
        <is>
          <t>T-08</t>
        </is>
      </c>
      <c r="D12" s="27" t="inlineStr">
        <is>
          <t>2026-03-15</t>
        </is>
      </c>
      <c r="E12" s="27" t="inlineStr">
        <is>
          <t>2026-03-25</t>
        </is>
      </c>
      <c r="F12" s="27" t="inlineStr">
        <is>
          <t>2026-03-26</t>
        </is>
      </c>
      <c r="G12" s="27" t="n">
        <v>563</v>
      </c>
      <c r="H12" s="26" t="inlineStr">
        <is>
          <t>ON_SCHEDULE</t>
        </is>
      </c>
    </row>
    <row r="13" ht="18" customHeight="1">
      <c r="A13" s="25" t="inlineStr">
        <is>
          <t>Original Kombucha</t>
        </is>
      </c>
      <c r="B13" s="25" t="n">
        <v>200</v>
      </c>
      <c r="C13" s="25" t="inlineStr">
        <is>
          <t>T-03</t>
        </is>
      </c>
      <c r="D13" s="25" t="inlineStr">
        <is>
          <t>2026-03-18</t>
        </is>
      </c>
      <c r="E13" s="25" t="inlineStr">
        <is>
          <t>2026-03-28</t>
        </is>
      </c>
      <c r="F13" s="25" t="inlineStr">
        <is>
          <t>2026-03-29</t>
        </is>
      </c>
      <c r="G13" s="25" t="n">
        <v>563</v>
      </c>
      <c r="H13" s="26" t="inlineStr">
        <is>
          <t>ON_SCHEDULE</t>
        </is>
      </c>
    </row>
    <row r="14" ht="18" customHeight="1">
      <c r="A14" s="27" t="inlineStr">
        <is>
          <t>Original Kombucha</t>
        </is>
      </c>
      <c r="B14" s="27" t="n">
        <v>100.5</v>
      </c>
      <c r="C14" s="27" t="inlineStr">
        <is>
          <t>T-04</t>
        </is>
      </c>
      <c r="D14" s="27" t="inlineStr">
        <is>
          <t>2026-03-15</t>
        </is>
      </c>
      <c r="E14" s="27" t="inlineStr">
        <is>
          <t>2026-03-25</t>
        </is>
      </c>
      <c r="F14" s="27" t="inlineStr">
        <is>
          <t>2026-03-26</t>
        </is>
      </c>
      <c r="G14" s="27" t="n">
        <v>283</v>
      </c>
      <c r="H14" s="26" t="inlineStr">
        <is>
          <t>ON_SCHEDULE</t>
        </is>
      </c>
    </row>
    <row r="15" ht="18" customHeight="1">
      <c r="A15" s="25" t="inlineStr">
        <is>
          <t>Ginger Lemon</t>
        </is>
      </c>
      <c r="B15" s="25" t="n">
        <v>200</v>
      </c>
      <c r="C15" s="25" t="inlineStr">
        <is>
          <t>T-01</t>
        </is>
      </c>
      <c r="D15" s="25" t="inlineStr">
        <is>
          <t>2026-03-25</t>
        </is>
      </c>
      <c r="E15" s="25" t="inlineStr">
        <is>
          <t>2026-04-04</t>
        </is>
      </c>
      <c r="F15" s="25" t="inlineStr">
        <is>
          <t>2026-04-05</t>
        </is>
      </c>
      <c r="G15" s="25" t="n">
        <v>563</v>
      </c>
      <c r="H15" s="28" t="inlineStr">
        <is>
          <t>AT_RISK_LATE</t>
        </is>
      </c>
    </row>
    <row r="16" ht="18" customHeight="1">
      <c r="A16" s="27" t="inlineStr">
        <is>
          <t>Ginger Lemon</t>
        </is>
      </c>
      <c r="B16" s="27" t="n">
        <v>200</v>
      </c>
      <c r="C16" s="27" t="inlineStr">
        <is>
          <t>T-02</t>
        </is>
      </c>
      <c r="D16" s="27" t="inlineStr">
        <is>
          <t>2026-03-25</t>
        </is>
      </c>
      <c r="E16" s="27" t="inlineStr">
        <is>
          <t>2026-04-04</t>
        </is>
      </c>
      <c r="F16" s="27" t="inlineStr">
        <is>
          <t>2026-04-05</t>
        </is>
      </c>
      <c r="G16" s="27" t="n">
        <v>563</v>
      </c>
      <c r="H16" s="28" t="inlineStr">
        <is>
          <t>AT_RISK_LATE</t>
        </is>
      </c>
    </row>
    <row r="17" ht="18" customHeight="1">
      <c r="A17" s="25" t="inlineStr">
        <is>
          <t>Ginger Lemon</t>
        </is>
      </c>
      <c r="B17" s="25" t="n">
        <v>61.5</v>
      </c>
      <c r="C17" s="25" t="inlineStr">
        <is>
          <t>T-05</t>
        </is>
      </c>
      <c r="D17" s="25" t="inlineStr">
        <is>
          <t>2026-03-20</t>
        </is>
      </c>
      <c r="E17" s="25" t="inlineStr">
        <is>
          <t>2026-03-30</t>
        </is>
      </c>
      <c r="F17" s="25" t="inlineStr">
        <is>
          <t>2026-03-31</t>
        </is>
      </c>
      <c r="G17" s="25" t="n">
        <v>173</v>
      </c>
      <c r="H17" s="28" t="inlineStr">
        <is>
          <t>AT_RISK_LATE</t>
        </is>
      </c>
    </row>
    <row r="18" ht="18" customHeight="1">
      <c r="A18" s="27" t="inlineStr">
        <is>
          <t>Mango Turmeric</t>
        </is>
      </c>
      <c r="B18" s="27" t="n">
        <v>200</v>
      </c>
      <c r="C18" s="27" t="inlineStr">
        <is>
          <t>T-07</t>
        </is>
      </c>
      <c r="D18" s="27" t="inlineStr">
        <is>
          <t>2026-03-25</t>
        </is>
      </c>
      <c r="E18" s="27" t="inlineStr">
        <is>
          <t>2026-04-04</t>
        </is>
      </c>
      <c r="F18" s="27" t="inlineStr">
        <is>
          <t>2026-04-05</t>
        </is>
      </c>
      <c r="G18" s="27" t="n">
        <v>563</v>
      </c>
      <c r="H18" s="28" t="inlineStr">
        <is>
          <t>AT_RISK_LATE</t>
        </is>
      </c>
    </row>
    <row r="19" ht="18" customHeight="1">
      <c r="A19" s="25" t="inlineStr">
        <is>
          <t>Mango Turmeric</t>
        </is>
      </c>
      <c r="B19" s="25" t="n">
        <v>190.5</v>
      </c>
      <c r="C19" s="25" t="inlineStr">
        <is>
          <t>T-08</t>
        </is>
      </c>
      <c r="D19" s="25" t="inlineStr">
        <is>
          <t>2026-03-25</t>
        </is>
      </c>
      <c r="E19" s="25" t="inlineStr">
        <is>
          <t>2026-04-04</t>
        </is>
      </c>
      <c r="F19" s="25" t="inlineStr">
        <is>
          <t>2026-04-05</t>
        </is>
      </c>
      <c r="G19" s="25" t="n">
        <v>536</v>
      </c>
      <c r="H19" s="28" t="inlineStr">
        <is>
          <t>AT_RISK_LATE</t>
        </is>
      </c>
    </row>
    <row r="20" ht="18" customHeight="1">
      <c r="A20" s="27" t="inlineStr">
        <is>
          <t>Blueberry Lavender</t>
        </is>
      </c>
      <c r="B20" s="27" t="n">
        <v>200</v>
      </c>
      <c r="C20" s="27" t="inlineStr">
        <is>
          <t>T-03</t>
        </is>
      </c>
      <c r="D20" s="27" t="inlineStr">
        <is>
          <t>2026-03-28</t>
        </is>
      </c>
      <c r="E20" s="27" t="inlineStr">
        <is>
          <t>2026-04-07</t>
        </is>
      </c>
      <c r="F20" s="27" t="inlineStr">
        <is>
          <t>2026-04-08</t>
        </is>
      </c>
      <c r="G20" s="27" t="n">
        <v>563</v>
      </c>
      <c r="H20" s="28" t="inlineStr">
        <is>
          <t>AT_RISK_LATE</t>
        </is>
      </c>
    </row>
    <row r="21" ht="18" customHeight="1">
      <c r="A21" s="25" t="inlineStr">
        <is>
          <t>Blueberry Lavender</t>
        </is>
      </c>
      <c r="B21" s="25" t="n">
        <v>119.5</v>
      </c>
      <c r="C21" s="25" t="inlineStr">
        <is>
          <t>T-04</t>
        </is>
      </c>
      <c r="D21" s="25" t="inlineStr">
        <is>
          <t>2026-03-25</t>
        </is>
      </c>
      <c r="E21" s="25" t="inlineStr">
        <is>
          <t>2026-04-04</t>
        </is>
      </c>
      <c r="F21" s="25" t="inlineStr">
        <is>
          <t>2026-04-05</t>
        </is>
      </c>
      <c r="G21" s="25" t="n">
        <v>336</v>
      </c>
      <c r="H21" s="28" t="inlineStr">
        <is>
          <t>AT_RISK_LATE</t>
        </is>
      </c>
    </row>
    <row r="22" ht="18" customHeight="1">
      <c r="A22" s="27" t="inlineStr">
        <is>
          <t>Raspberry Rose</t>
        </is>
      </c>
      <c r="B22" s="27" t="n">
        <v>142</v>
      </c>
      <c r="C22" s="27" t="inlineStr">
        <is>
          <t>T-05</t>
        </is>
      </c>
      <c r="D22" s="27" t="inlineStr">
        <is>
          <t>2026-03-30</t>
        </is>
      </c>
      <c r="E22" s="27" t="inlineStr">
        <is>
          <t>2026-04-09</t>
        </is>
      </c>
      <c r="F22" s="27" t="inlineStr">
        <is>
          <t>2026-04-10</t>
        </is>
      </c>
      <c r="G22" s="27" t="n">
        <v>400</v>
      </c>
      <c r="H22" s="28" t="inlineStr">
        <is>
          <t>AT_RISK_LATE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9" customWidth="1" min="3" max="3"/>
    <col width="13" customWidth="1" min="4" max="4"/>
    <col width="11" customWidth="1" min="5" max="5"/>
    <col width="22" customWidth="1" min="6" max="6"/>
  </cols>
  <sheetData>
    <row r="1" ht="32" customHeight="1">
      <c r="A1" s="1" t="inlineStr">
        <is>
          <t>📋  CUSTOMER ORDERS &amp; DEMAND</t>
        </is>
      </c>
    </row>
    <row r="2" ht="24" customHeight="1">
      <c r="A2" s="2" t="inlineStr">
        <is>
          <t>Order_ID</t>
        </is>
      </c>
      <c r="B2" s="2" t="inlineStr">
        <is>
          <t>Flavor</t>
        </is>
      </c>
      <c r="C2" s="2" t="inlineStr">
        <is>
          <t>Quantity_Bottles</t>
        </is>
      </c>
      <c r="D2" s="2" t="inlineStr">
        <is>
          <t>Due_Date</t>
        </is>
      </c>
      <c r="E2" s="2" t="inlineStr">
        <is>
          <t>Priority</t>
        </is>
      </c>
      <c r="F2" s="2" t="inlineStr">
        <is>
          <t>Customer</t>
        </is>
      </c>
    </row>
    <row r="3" ht="18" customHeight="1">
      <c r="A3" s="3" t="inlineStr">
        <is>
          <t>ORD-001</t>
        </is>
      </c>
      <c r="B3" s="3" t="inlineStr">
        <is>
          <t>Original Kombucha</t>
        </is>
      </c>
      <c r="C3" s="3" t="n">
        <v>1500</v>
      </c>
      <c r="D3" s="3" t="inlineStr">
        <is>
          <t>2026-03-29</t>
        </is>
      </c>
      <c r="E3" s="3" t="n">
        <v>1</v>
      </c>
      <c r="F3" s="3" t="inlineStr">
        <is>
          <t>Whole Foods Chicago</t>
        </is>
      </c>
    </row>
    <row r="4" ht="18" customHeight="1">
      <c r="A4" s="4" t="inlineStr">
        <is>
          <t>ORD-002</t>
        </is>
      </c>
      <c r="B4" s="4" t="inlineStr">
        <is>
          <t>Ginger Lemon</t>
        </is>
      </c>
      <c r="C4" s="4" t="n">
        <v>800</v>
      </c>
      <c r="D4" s="4" t="inlineStr">
        <is>
          <t>2026-03-27</t>
        </is>
      </c>
      <c r="E4" s="4" t="n">
        <v>2</v>
      </c>
      <c r="F4" s="4" t="inlineStr">
        <is>
          <t>Fresh Market Peoria</t>
        </is>
      </c>
    </row>
    <row r="5" ht="18" customHeight="1">
      <c r="A5" s="3" t="inlineStr">
        <is>
          <t>ORD-003</t>
        </is>
      </c>
      <c r="B5" s="3" t="inlineStr">
        <is>
          <t>Blueberry Lavender</t>
        </is>
      </c>
      <c r="C5" s="3" t="n">
        <v>600</v>
      </c>
      <c r="D5" s="3" t="inlineStr">
        <is>
          <t>2026-04-02</t>
        </is>
      </c>
      <c r="E5" s="3" t="n">
        <v>3</v>
      </c>
      <c r="F5" s="3" t="inlineStr">
        <is>
          <t>Natural Grocers</t>
        </is>
      </c>
    </row>
    <row r="6" ht="18" customHeight="1">
      <c r="A6" s="4" t="inlineStr">
        <is>
          <t>ORD-004</t>
        </is>
      </c>
      <c r="B6" s="4" t="inlineStr">
        <is>
          <t>Raspberry Rose</t>
        </is>
      </c>
      <c r="C6" s="4" t="n">
        <v>400</v>
      </c>
      <c r="D6" s="4" t="inlineStr">
        <is>
          <t>2026-04-04</t>
        </is>
      </c>
      <c r="E6" s="4" t="n">
        <v>3</v>
      </c>
      <c r="F6" s="4" t="inlineStr">
        <is>
          <t>Midwest Co-op</t>
        </is>
      </c>
    </row>
    <row r="7" ht="18" customHeight="1">
      <c r="A7" s="3" t="inlineStr">
        <is>
          <t>ORD-005</t>
        </is>
      </c>
      <c r="B7" s="3" t="inlineStr">
        <is>
          <t>Original Kombucha</t>
        </is>
      </c>
      <c r="C7" s="3" t="n">
        <v>1000</v>
      </c>
      <c r="D7" s="3" t="inlineStr">
        <is>
          <t>2026-04-05</t>
        </is>
      </c>
      <c r="E7" s="3" t="n">
        <v>1</v>
      </c>
      <c r="F7" s="3" t="inlineStr">
        <is>
          <t>Jewel-Osco</t>
        </is>
      </c>
    </row>
    <row r="8" ht="18" customHeight="1">
      <c r="A8" s="4" t="inlineStr">
        <is>
          <t>ORD-006</t>
        </is>
      </c>
      <c r="B8" s="4" t="inlineStr">
        <is>
          <t>Ginger Lemon</t>
        </is>
      </c>
      <c r="C8" s="4" t="n">
        <v>500</v>
      </c>
      <c r="D8" s="4" t="inlineStr">
        <is>
          <t>2026-04-09</t>
        </is>
      </c>
      <c r="E8" s="4" t="n">
        <v>2</v>
      </c>
      <c r="F8" s="4" t="inlineStr">
        <is>
          <t>Target Grocery</t>
        </is>
      </c>
    </row>
    <row r="9" ht="18" customHeight="1">
      <c r="A9" s="3" t="inlineStr">
        <is>
          <t>ORD-007</t>
        </is>
      </c>
      <c r="B9" s="3" t="inlineStr">
        <is>
          <t>Mango Turmeric</t>
        </is>
      </c>
      <c r="C9" s="3" t="n">
        <v>700</v>
      </c>
      <c r="D9" s="3" t="inlineStr">
        <is>
          <t>2026-03-31</t>
        </is>
      </c>
      <c r="E9" s="3" t="n">
        <v>2</v>
      </c>
      <c r="F9" s="3" t="inlineStr">
        <is>
          <t>Fresh Thyme</t>
        </is>
      </c>
    </row>
    <row r="10" ht="18" customHeight="1">
      <c r="A10" s="4" t="inlineStr">
        <is>
          <t>ORD-008</t>
        </is>
      </c>
      <c r="B10" s="4" t="inlineStr">
        <is>
          <t>Blueberry Lavender</t>
        </is>
      </c>
      <c r="C10" s="4" t="n">
        <v>300</v>
      </c>
      <c r="D10" s="4" t="inlineStr">
        <is>
          <t>2026-04-06</t>
        </is>
      </c>
      <c r="E10" s="4" t="n">
        <v>3</v>
      </c>
      <c r="F10" s="4" t="inlineStr">
        <is>
          <t>Green Earth Market</t>
        </is>
      </c>
    </row>
    <row r="11" ht="18" customHeight="1">
      <c r="A11" s="3" t="inlineStr">
        <is>
          <t>ORD-009</t>
        </is>
      </c>
      <c r="B11" s="3" t="inlineStr">
        <is>
          <t>Original Kombucha</t>
        </is>
      </c>
      <c r="C11" s="3" t="n">
        <v>600</v>
      </c>
      <c r="D11" s="3" t="inlineStr">
        <is>
          <t>2026-04-14</t>
        </is>
      </c>
      <c r="E11" s="3" t="n">
        <v>1</v>
      </c>
      <c r="F11" s="3" t="inlineStr">
        <is>
          <t>Sam's Club</t>
        </is>
      </c>
    </row>
    <row r="12" ht="18" customHeight="1">
      <c r="A12" s="4" t="inlineStr">
        <is>
          <t>ORD-010</t>
        </is>
      </c>
      <c r="B12" s="4" t="inlineStr">
        <is>
          <t>Mango Turmeric</t>
        </is>
      </c>
      <c r="C12" s="4" t="n">
        <v>400</v>
      </c>
      <c r="D12" s="4" t="inlineStr">
        <is>
          <t>2026-04-12</t>
        </is>
      </c>
      <c r="E12" s="4" t="n">
        <v>2</v>
      </c>
      <c r="F12" s="4" t="inlineStr">
        <is>
          <t>Sprouts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4" customWidth="1" min="3" max="3"/>
    <col width="10" customWidth="1" min="4" max="4"/>
    <col width="15" customWidth="1" min="5" max="5"/>
    <col width="16" customWidth="1" min="6" max="6"/>
    <col width="17" customWidth="1" min="7" max="7"/>
    <col width="16" customWidth="1" min="8" max="8"/>
  </cols>
  <sheetData>
    <row r="1" ht="32" customHeight="1">
      <c r="A1" s="1" t="inlineStr">
        <is>
          <t>🧪  INGREDIENT &amp; PACKAGING INVENTORY</t>
        </is>
      </c>
    </row>
    <row r="2" ht="24" customHeight="1">
      <c r="A2" s="2" t="inlineStr">
        <is>
          <t>Material_ID</t>
        </is>
      </c>
      <c r="B2" s="2" t="inlineStr">
        <is>
          <t>Material_Name</t>
        </is>
      </c>
      <c r="C2" s="2" t="inlineStr">
        <is>
          <t>Stock_Level</t>
        </is>
      </c>
      <c r="D2" s="2" t="inlineStr">
        <is>
          <t>Unit</t>
        </is>
      </c>
      <c r="E2" s="2" t="inlineStr">
        <is>
          <t>Safety_Stock</t>
        </is>
      </c>
      <c r="F2" s="2" t="inlineStr">
        <is>
          <t>Reorder_Point</t>
        </is>
      </c>
      <c r="G2" s="2" t="inlineStr">
        <is>
          <t>Lead_Time_Days</t>
        </is>
      </c>
      <c r="H2" s="2" t="inlineStr">
        <is>
          <t>Cost_Per_Unit</t>
        </is>
      </c>
    </row>
    <row r="3" ht="18" customHeight="1">
      <c r="A3" s="3" t="inlineStr">
        <is>
          <t>MAT-001</t>
        </is>
      </c>
      <c r="B3" s="3" t="inlineStr">
        <is>
          <t>Green Tea (kg)</t>
        </is>
      </c>
      <c r="C3" s="3" t="n">
        <v>45</v>
      </c>
      <c r="D3" s="3" t="inlineStr">
        <is>
          <t>kg</t>
        </is>
      </c>
      <c r="E3" s="3" t="n">
        <v>10</v>
      </c>
      <c r="F3" s="3" t="n">
        <v>15</v>
      </c>
      <c r="G3" s="3" t="n">
        <v>5</v>
      </c>
      <c r="H3" s="3" t="n">
        <v>8.5</v>
      </c>
    </row>
    <row r="4" ht="18" customHeight="1">
      <c r="A4" s="4" t="inlineStr">
        <is>
          <t>MAT-002</t>
        </is>
      </c>
      <c r="B4" s="4" t="inlineStr">
        <is>
          <t>Black Tea (kg)</t>
        </is>
      </c>
      <c r="C4" s="4" t="n">
        <v>30</v>
      </c>
      <c r="D4" s="4" t="inlineStr">
        <is>
          <t>kg</t>
        </is>
      </c>
      <c r="E4" s="4" t="n">
        <v>8</v>
      </c>
      <c r="F4" s="4" t="n">
        <v>12</v>
      </c>
      <c r="G4" s="4" t="n">
        <v>5</v>
      </c>
      <c r="H4" s="4" t="n">
        <v>6</v>
      </c>
    </row>
    <row r="5" ht="18" customHeight="1">
      <c r="A5" s="3" t="inlineStr">
        <is>
          <t>MAT-003</t>
        </is>
      </c>
      <c r="B5" s="3" t="inlineStr">
        <is>
          <t>Cane Sugar (kg)</t>
        </is>
      </c>
      <c r="C5" s="3" t="n">
        <v>80</v>
      </c>
      <c r="D5" s="3" t="inlineStr">
        <is>
          <t>kg</t>
        </is>
      </c>
      <c r="E5" s="3" t="n">
        <v>20</v>
      </c>
      <c r="F5" s="3" t="n">
        <v>30</v>
      </c>
      <c r="G5" s="3" t="n">
        <v>3</v>
      </c>
      <c r="H5" s="3" t="n">
        <v>1.2</v>
      </c>
    </row>
    <row r="6" ht="18" customHeight="1">
      <c r="A6" s="4" t="inlineStr">
        <is>
          <t>MAT-004</t>
        </is>
      </c>
      <c r="B6" s="4" t="inlineStr">
        <is>
          <t>SCOBY Starter Culture</t>
        </is>
      </c>
      <c r="C6" s="4" t="n">
        <v>12</v>
      </c>
      <c r="D6" s="4" t="inlineStr">
        <is>
          <t>qty</t>
        </is>
      </c>
      <c r="E6" s="4" t="n">
        <v>3</v>
      </c>
      <c r="F6" s="4" t="n">
        <v>5</v>
      </c>
      <c r="G6" s="4" t="n">
        <v>7</v>
      </c>
      <c r="H6" s="4" t="n">
        <v>25</v>
      </c>
    </row>
    <row r="7" ht="18" customHeight="1">
      <c r="A7" s="3" t="inlineStr">
        <is>
          <t>MAT-005</t>
        </is>
      </c>
      <c r="B7" s="3" t="inlineStr">
        <is>
          <t>Ginger Extract (L)</t>
        </is>
      </c>
      <c r="C7" s="3" t="n">
        <v>8</v>
      </c>
      <c r="D7" s="3" t="inlineStr">
        <is>
          <t>L</t>
        </is>
      </c>
      <c r="E7" s="3" t="n">
        <v>2</v>
      </c>
      <c r="F7" s="3" t="n">
        <v>4</v>
      </c>
      <c r="G7" s="3" t="n">
        <v>4</v>
      </c>
      <c r="H7" s="3" t="n">
        <v>45</v>
      </c>
    </row>
    <row r="8" ht="18" customHeight="1">
      <c r="A8" s="4" t="inlineStr">
        <is>
          <t>MAT-006</t>
        </is>
      </c>
      <c r="B8" s="4" t="inlineStr">
        <is>
          <t>Lemon Juice (L)</t>
        </is>
      </c>
      <c r="C8" s="4" t="n">
        <v>15</v>
      </c>
      <c r="D8" s="4" t="inlineStr">
        <is>
          <t>L</t>
        </is>
      </c>
      <c r="E8" s="4" t="n">
        <v>3</v>
      </c>
      <c r="F8" s="4" t="n">
        <v>5</v>
      </c>
      <c r="G8" s="4" t="n">
        <v>3</v>
      </c>
      <c r="H8" s="4" t="n">
        <v>12</v>
      </c>
    </row>
    <row r="9" ht="18" customHeight="1">
      <c r="A9" s="3" t="inlineStr">
        <is>
          <t>MAT-007</t>
        </is>
      </c>
      <c r="B9" s="3" t="inlineStr">
        <is>
          <t>Blueberry Puree (kg)</t>
        </is>
      </c>
      <c r="C9" s="3" t="n">
        <v>6</v>
      </c>
      <c r="D9" s="3" t="inlineStr">
        <is>
          <t>kg</t>
        </is>
      </c>
      <c r="E9" s="3" t="n">
        <v>2</v>
      </c>
      <c r="F9" s="3" t="n">
        <v>4</v>
      </c>
      <c r="G9" s="3" t="n">
        <v>6</v>
      </c>
      <c r="H9" s="3" t="n">
        <v>18</v>
      </c>
    </row>
    <row r="10" ht="18" customHeight="1">
      <c r="A10" s="4" t="inlineStr">
        <is>
          <t>MAT-008</t>
        </is>
      </c>
      <c r="B10" s="4" t="inlineStr">
        <is>
          <t>Lavender Extract (L)</t>
        </is>
      </c>
      <c r="C10" s="4" t="n">
        <v>3</v>
      </c>
      <c r="D10" s="4" t="inlineStr">
        <is>
          <t>L</t>
        </is>
      </c>
      <c r="E10" s="4" t="n">
        <v>1</v>
      </c>
      <c r="F10" s="4" t="n">
        <v>2</v>
      </c>
      <c r="G10" s="4" t="n">
        <v>7</v>
      </c>
      <c r="H10" s="4" t="n">
        <v>60</v>
      </c>
    </row>
    <row r="11" ht="18" customHeight="1">
      <c r="A11" s="3" t="inlineStr">
        <is>
          <t>MAT-009</t>
        </is>
      </c>
      <c r="B11" s="3" t="inlineStr">
        <is>
          <t>Raspberry Puree (kg)</t>
        </is>
      </c>
      <c r="C11" s="3" t="n">
        <v>9</v>
      </c>
      <c r="D11" s="3" t="inlineStr">
        <is>
          <t>kg</t>
        </is>
      </c>
      <c r="E11" s="3" t="n">
        <v>2</v>
      </c>
      <c r="F11" s="3" t="n">
        <v>4</v>
      </c>
      <c r="G11" s="3" t="n">
        <v>5</v>
      </c>
      <c r="H11" s="3" t="n">
        <v>20</v>
      </c>
    </row>
    <row r="12" ht="18" customHeight="1">
      <c r="A12" s="4" t="inlineStr">
        <is>
          <t>MAT-010</t>
        </is>
      </c>
      <c r="B12" s="4" t="inlineStr">
        <is>
          <t>Rose Water (L)</t>
        </is>
      </c>
      <c r="C12" s="4" t="n">
        <v>4</v>
      </c>
      <c r="D12" s="4" t="inlineStr">
        <is>
          <t>L</t>
        </is>
      </c>
      <c r="E12" s="4" t="n">
        <v>1</v>
      </c>
      <c r="F12" s="4" t="n">
        <v>2</v>
      </c>
      <c r="G12" s="4" t="n">
        <v>7</v>
      </c>
      <c r="H12" s="4" t="n">
        <v>35</v>
      </c>
    </row>
    <row r="13" ht="18" customHeight="1">
      <c r="A13" s="3" t="inlineStr">
        <is>
          <t>MAT-011</t>
        </is>
      </c>
      <c r="B13" s="3" t="inlineStr">
        <is>
          <t>Mango Puree (kg)</t>
        </is>
      </c>
      <c r="C13" s="3" t="n">
        <v>10</v>
      </c>
      <c r="D13" s="3" t="inlineStr">
        <is>
          <t>kg</t>
        </is>
      </c>
      <c r="E13" s="3" t="n">
        <v>3</v>
      </c>
      <c r="F13" s="3" t="n">
        <v>5</v>
      </c>
      <c r="G13" s="3" t="n">
        <v>5</v>
      </c>
      <c r="H13" s="3" t="n">
        <v>15</v>
      </c>
    </row>
    <row r="14" ht="18" customHeight="1">
      <c r="A14" s="4" t="inlineStr">
        <is>
          <t>MAT-012</t>
        </is>
      </c>
      <c r="B14" s="4" t="inlineStr">
        <is>
          <t>Turmeric Powder (kg)</t>
        </is>
      </c>
      <c r="C14" s="4" t="n">
        <v>2</v>
      </c>
      <c r="D14" s="4" t="inlineStr">
        <is>
          <t>kg</t>
        </is>
      </c>
      <c r="E14" s="4" t="n">
        <v>0.5</v>
      </c>
      <c r="F14" s="4" t="n">
        <v>1</v>
      </c>
      <c r="G14" s="4" t="n">
        <v>4</v>
      </c>
      <c r="H14" s="4" t="n">
        <v>22</v>
      </c>
    </row>
    <row r="15" ht="18" customHeight="1">
      <c r="A15" s="3" t="inlineStr">
        <is>
          <t>MAT-013</t>
        </is>
      </c>
      <c r="B15" s="3" t="inlineStr">
        <is>
          <t>Glass Bottles (500mL)</t>
        </is>
      </c>
      <c r="C15" s="3" t="n">
        <v>4800</v>
      </c>
      <c r="D15" s="3" t="inlineStr">
        <is>
          <t>qty</t>
        </is>
      </c>
      <c r="E15" s="3" t="n">
        <v>500</v>
      </c>
      <c r="F15" s="3" t="n">
        <v>1000</v>
      </c>
      <c r="G15" s="3" t="n">
        <v>7</v>
      </c>
      <c r="H15" s="3" t="n">
        <v>0.45</v>
      </c>
    </row>
    <row r="16" ht="18" customHeight="1">
      <c r="A16" s="4" t="inlineStr">
        <is>
          <t>MAT-014</t>
        </is>
      </c>
      <c r="B16" s="4" t="inlineStr">
        <is>
          <t>Bottle Caps</t>
        </is>
      </c>
      <c r="C16" s="4" t="n">
        <v>5000</v>
      </c>
      <c r="D16" s="4" t="inlineStr">
        <is>
          <t>qty</t>
        </is>
      </c>
      <c r="E16" s="4" t="n">
        <v>500</v>
      </c>
      <c r="F16" s="4" t="n">
        <v>1000</v>
      </c>
      <c r="G16" s="4" t="n">
        <v>5</v>
      </c>
      <c r="H16" s="4" t="n">
        <v>0.02</v>
      </c>
    </row>
    <row r="17" ht="18" customHeight="1">
      <c r="A17" s="3" t="inlineStr">
        <is>
          <t>MAT-015</t>
        </is>
      </c>
      <c r="B17" s="3" t="inlineStr">
        <is>
          <t>Labels</t>
        </is>
      </c>
      <c r="C17" s="3" t="n">
        <v>4500</v>
      </c>
      <c r="D17" s="3" t="inlineStr">
        <is>
          <t>qty</t>
        </is>
      </c>
      <c r="E17" s="3" t="n">
        <v>500</v>
      </c>
      <c r="F17" s="3" t="n">
        <v>800</v>
      </c>
      <c r="G17" s="3" t="n">
        <v>4</v>
      </c>
      <c r="H17" s="3" t="n">
        <v>0.08</v>
      </c>
    </row>
    <row r="18" ht="18" customHeight="1">
      <c r="A18" s="4" t="inlineStr">
        <is>
          <t>MAT-016</t>
        </is>
      </c>
      <c r="B18" s="4" t="inlineStr">
        <is>
          <t>Filtered Water (L)</t>
        </is>
      </c>
      <c r="C18" s="4" t="n">
        <v>5000</v>
      </c>
      <c r="D18" s="4" t="inlineStr">
        <is>
          <t>L</t>
        </is>
      </c>
      <c r="E18" s="4" t="n">
        <v>500</v>
      </c>
      <c r="F18" s="4" t="n">
        <v>800</v>
      </c>
      <c r="G18" s="4" t="n">
        <v>1</v>
      </c>
      <c r="H18" s="4" t="n">
        <v>0.005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21" customWidth="1" min="3" max="3"/>
    <col width="10" customWidth="1" min="4" max="4"/>
    <col width="26" customWidth="1" min="5" max="5"/>
  </cols>
  <sheetData>
    <row r="1" ht="32" customHeight="1">
      <c r="A1" s="1" t="inlineStr">
        <is>
          <t>📐  RECIPE / BILL OF MATERIALS (BOM)</t>
        </is>
      </c>
    </row>
    <row r="2" ht="24" customHeight="1">
      <c r="A2" s="2" t="inlineStr">
        <is>
          <t>Flavor</t>
        </is>
      </c>
      <c r="B2" s="2" t="inlineStr">
        <is>
          <t>Ingredient</t>
        </is>
      </c>
      <c r="C2" s="2" t="inlineStr">
        <is>
          <t>Quantity_Per_Batch</t>
        </is>
      </c>
      <c r="D2" s="2" t="inlineStr">
        <is>
          <t>Unit</t>
        </is>
      </c>
      <c r="E2" s="2" t="inlineStr">
        <is>
          <t>Notes</t>
        </is>
      </c>
    </row>
    <row r="3" ht="18" customHeight="1">
      <c r="A3" s="5" t="inlineStr">
        <is>
          <t>Original Kombucha</t>
        </is>
      </c>
      <c r="B3" s="5" t="inlineStr">
        <is>
          <t>Green Tea (kg)</t>
        </is>
      </c>
      <c r="C3" s="5" t="n">
        <v>2</v>
      </c>
      <c r="D3" s="5" t="inlineStr">
        <is>
          <t>kg</t>
        </is>
      </c>
      <c r="E3" s="5" t="inlineStr">
        <is>
          <t>First fermentation base</t>
        </is>
      </c>
    </row>
    <row r="4" ht="18" customHeight="1">
      <c r="A4" s="5" t="inlineStr">
        <is>
          <t>Original Kombucha</t>
        </is>
      </c>
      <c r="B4" s="5" t="inlineStr">
        <is>
          <t>Cane Sugar (kg)</t>
        </is>
      </c>
      <c r="C4" s="5" t="n">
        <v>16</v>
      </c>
      <c r="D4" s="5" t="inlineStr">
        <is>
          <t>kg</t>
        </is>
      </c>
      <c r="E4" s="5" t="inlineStr">
        <is>
          <t>7–8% sugar by volume</t>
        </is>
      </c>
    </row>
    <row r="5" ht="18" customHeight="1">
      <c r="A5" s="5" t="inlineStr">
        <is>
          <t>Original Kombucha</t>
        </is>
      </c>
      <c r="B5" s="5" t="inlineStr">
        <is>
          <t>SCOBY Starter Culture</t>
        </is>
      </c>
      <c r="C5" s="5" t="n">
        <v>1</v>
      </c>
      <c r="D5" s="5" t="inlineStr">
        <is>
          <t>qty</t>
        </is>
      </c>
      <c r="E5" s="5" t="inlineStr">
        <is>
          <t>1 SCOBY per 200L batch</t>
        </is>
      </c>
    </row>
    <row r="6" ht="18" customHeight="1">
      <c r="A6" s="5" t="inlineStr">
        <is>
          <t>Original Kombucha</t>
        </is>
      </c>
      <c r="B6" s="5" t="inlineStr">
        <is>
          <t>Filtered Water (L)</t>
        </is>
      </c>
      <c r="C6" s="5" t="n">
        <v>180</v>
      </c>
      <c r="D6" s="5" t="inlineStr">
        <is>
          <t>L</t>
        </is>
      </c>
      <c r="E6" s="5" t="inlineStr">
        <is>
          <t>Reverse osmosis</t>
        </is>
      </c>
    </row>
    <row r="7" ht="18" customHeight="1">
      <c r="A7" s="5" t="inlineStr">
        <is>
          <t>Original Kombucha</t>
        </is>
      </c>
      <c r="B7" s="5" t="inlineStr">
        <is>
          <t>Glass Bottles (500mL)</t>
        </is>
      </c>
      <c r="C7" s="5" t="n">
        <v>400</v>
      </c>
      <c r="D7" s="5" t="inlineStr">
        <is>
          <t>qty</t>
        </is>
      </c>
      <c r="E7" s="5" t="inlineStr">
        <is>
          <t>200L ÷ 0.5L bottle</t>
        </is>
      </c>
    </row>
    <row r="8" ht="18" customHeight="1">
      <c r="A8" s="5" t="inlineStr">
        <is>
          <t>Original Kombucha</t>
        </is>
      </c>
      <c r="B8" s="5" t="inlineStr">
        <is>
          <t>Bottle Caps</t>
        </is>
      </c>
      <c r="C8" s="5" t="n">
        <v>400</v>
      </c>
      <c r="D8" s="5" t="inlineStr">
        <is>
          <t>qty</t>
        </is>
      </c>
      <c r="E8" s="5" t="inlineStr">
        <is>
          <t>One per bottle</t>
        </is>
      </c>
    </row>
    <row r="9" ht="18" customHeight="1">
      <c r="A9" s="5" t="inlineStr">
        <is>
          <t>Original Kombucha</t>
        </is>
      </c>
      <c r="B9" s="5" t="inlineStr">
        <is>
          <t>Labels</t>
        </is>
      </c>
      <c r="C9" s="5" t="n">
        <v>400</v>
      </c>
      <c r="D9" s="5" t="inlineStr">
        <is>
          <t>qty</t>
        </is>
      </c>
      <c r="E9" s="5" t="inlineStr">
        <is>
          <t>Brand labels</t>
        </is>
      </c>
    </row>
    <row r="10" ht="18" customHeight="1">
      <c r="A10" s="6" t="inlineStr">
        <is>
          <t>Ginger Lemon</t>
        </is>
      </c>
      <c r="B10" s="6" t="inlineStr">
        <is>
          <t>Green Tea (kg)</t>
        </is>
      </c>
      <c r="C10" s="6" t="n">
        <v>2</v>
      </c>
      <c r="D10" s="6" t="inlineStr">
        <is>
          <t>kg</t>
        </is>
      </c>
      <c r="E10" s="6" t="inlineStr">
        <is>
          <t>Base tea</t>
        </is>
      </c>
    </row>
    <row r="11" ht="18" customHeight="1">
      <c r="A11" s="6" t="inlineStr">
        <is>
          <t>Ginger Lemon</t>
        </is>
      </c>
      <c r="B11" s="6" t="inlineStr">
        <is>
          <t>Cane Sugar (kg)</t>
        </is>
      </c>
      <c r="C11" s="6" t="n">
        <v>15</v>
      </c>
      <c r="D11" s="6" t="inlineStr">
        <is>
          <t>kg</t>
        </is>
      </c>
      <c r="E11" s="6" t="inlineStr">
        <is>
          <t>Slightly less sweet</t>
        </is>
      </c>
    </row>
    <row r="12" ht="18" customHeight="1">
      <c r="A12" s="6" t="inlineStr">
        <is>
          <t>Ginger Lemon</t>
        </is>
      </c>
      <c r="B12" s="6" t="inlineStr">
        <is>
          <t>SCOBY Starter Culture</t>
        </is>
      </c>
      <c r="C12" s="6" t="n">
        <v>1</v>
      </c>
      <c r="D12" s="6" t="inlineStr">
        <is>
          <t>qty</t>
        </is>
      </c>
      <c r="E12" s="6" t="inlineStr">
        <is>
          <t>1 SCOBY per batch</t>
        </is>
      </c>
    </row>
    <row r="13" ht="18" customHeight="1">
      <c r="A13" s="6" t="inlineStr">
        <is>
          <t>Ginger Lemon</t>
        </is>
      </c>
      <c r="B13" s="6" t="inlineStr">
        <is>
          <t>Ginger Extract (L)</t>
        </is>
      </c>
      <c r="C13" s="6" t="n">
        <v>4</v>
      </c>
      <c r="D13" s="6" t="inlineStr">
        <is>
          <t>L</t>
        </is>
      </c>
      <c r="E13" s="6" t="inlineStr">
        <is>
          <t>2F flavor addition</t>
        </is>
      </c>
    </row>
    <row r="14" ht="18" customHeight="1">
      <c r="A14" s="6" t="inlineStr">
        <is>
          <t>Ginger Lemon</t>
        </is>
      </c>
      <c r="B14" s="6" t="inlineStr">
        <is>
          <t>Lemon Juice (L)</t>
        </is>
      </c>
      <c r="C14" s="6" t="n">
        <v>6</v>
      </c>
      <c r="D14" s="6" t="inlineStr">
        <is>
          <t>L</t>
        </is>
      </c>
      <c r="E14" s="6" t="inlineStr">
        <is>
          <t>Fresh pressed</t>
        </is>
      </c>
    </row>
    <row r="15" ht="18" customHeight="1">
      <c r="A15" s="6" t="inlineStr">
        <is>
          <t>Ginger Lemon</t>
        </is>
      </c>
      <c r="B15" s="6" t="inlineStr">
        <is>
          <t>Filtered Water (L)</t>
        </is>
      </c>
      <c r="C15" s="6" t="n">
        <v>180</v>
      </c>
      <c r="D15" s="6" t="inlineStr">
        <is>
          <t>L</t>
        </is>
      </c>
      <c r="E15" s="6" t="inlineStr"/>
    </row>
    <row r="16" ht="18" customHeight="1">
      <c r="A16" s="6" t="inlineStr">
        <is>
          <t>Ginger Lemon</t>
        </is>
      </c>
      <c r="B16" s="6" t="inlineStr">
        <is>
          <t>Glass Bottles (500mL)</t>
        </is>
      </c>
      <c r="C16" s="6" t="n">
        <v>400</v>
      </c>
      <c r="D16" s="6" t="inlineStr">
        <is>
          <t>qty</t>
        </is>
      </c>
      <c r="E16" s="6" t="inlineStr"/>
    </row>
    <row r="17" ht="18" customHeight="1">
      <c r="A17" s="6" t="inlineStr">
        <is>
          <t>Ginger Lemon</t>
        </is>
      </c>
      <c r="B17" s="6" t="inlineStr">
        <is>
          <t>Bottle Caps</t>
        </is>
      </c>
      <c r="C17" s="6" t="n">
        <v>400</v>
      </c>
      <c r="D17" s="6" t="inlineStr">
        <is>
          <t>qty</t>
        </is>
      </c>
      <c r="E17" s="6" t="inlineStr"/>
    </row>
    <row r="18" ht="18" customHeight="1">
      <c r="A18" s="6" t="inlineStr">
        <is>
          <t>Ginger Lemon</t>
        </is>
      </c>
      <c r="B18" s="6" t="inlineStr">
        <is>
          <t>Labels</t>
        </is>
      </c>
      <c r="C18" s="6" t="n">
        <v>400</v>
      </c>
      <c r="D18" s="6" t="inlineStr">
        <is>
          <t>qty</t>
        </is>
      </c>
      <c r="E18" s="6" t="inlineStr"/>
    </row>
    <row r="19" ht="18" customHeight="1">
      <c r="A19" s="7" t="inlineStr">
        <is>
          <t>Blueberry Lavender</t>
        </is>
      </c>
      <c r="B19" s="7" t="inlineStr">
        <is>
          <t>Black Tea (kg)</t>
        </is>
      </c>
      <c r="C19" s="7" t="n">
        <v>2</v>
      </c>
      <c r="D19" s="7" t="inlineStr">
        <is>
          <t>kg</t>
        </is>
      </c>
      <c r="E19" s="7" t="inlineStr">
        <is>
          <t>Richer base</t>
        </is>
      </c>
    </row>
    <row r="20" ht="18" customHeight="1">
      <c r="A20" s="7" t="inlineStr">
        <is>
          <t>Blueberry Lavender</t>
        </is>
      </c>
      <c r="B20" s="7" t="inlineStr">
        <is>
          <t>Cane Sugar (kg)</t>
        </is>
      </c>
      <c r="C20" s="7" t="n">
        <v>15</v>
      </c>
      <c r="D20" s="7" t="inlineStr">
        <is>
          <t>kg</t>
        </is>
      </c>
      <c r="E20" s="7" t="inlineStr"/>
    </row>
    <row r="21" ht="18" customHeight="1">
      <c r="A21" s="7" t="inlineStr">
        <is>
          <t>Blueberry Lavender</t>
        </is>
      </c>
      <c r="B21" s="7" t="inlineStr">
        <is>
          <t>SCOBY Starter Culture</t>
        </is>
      </c>
      <c r="C21" s="7" t="n">
        <v>1</v>
      </c>
      <c r="D21" s="7" t="inlineStr">
        <is>
          <t>qty</t>
        </is>
      </c>
      <c r="E21" s="7" t="inlineStr"/>
    </row>
    <row r="22" ht="18" customHeight="1">
      <c r="A22" s="7" t="inlineStr">
        <is>
          <t>Blueberry Lavender</t>
        </is>
      </c>
      <c r="B22" s="7" t="inlineStr">
        <is>
          <t>Blueberry Puree (kg)</t>
        </is>
      </c>
      <c r="C22" s="7" t="n">
        <v>8</v>
      </c>
      <c r="D22" s="7" t="inlineStr">
        <is>
          <t>kg</t>
        </is>
      </c>
      <c r="E22" s="7" t="inlineStr">
        <is>
          <t>2F addition</t>
        </is>
      </c>
    </row>
    <row r="23" ht="18" customHeight="1">
      <c r="A23" s="7" t="inlineStr">
        <is>
          <t>Blueberry Lavender</t>
        </is>
      </c>
      <c r="B23" s="7" t="inlineStr">
        <is>
          <t>Lavender Extract (L)</t>
        </is>
      </c>
      <c r="C23" s="7" t="n">
        <v>1.5</v>
      </c>
      <c r="D23" s="7" t="inlineStr">
        <is>
          <t>L</t>
        </is>
      </c>
      <c r="E23" s="7" t="inlineStr">
        <is>
          <t>2F addition</t>
        </is>
      </c>
    </row>
    <row r="24" ht="18" customHeight="1">
      <c r="A24" s="7" t="inlineStr">
        <is>
          <t>Blueberry Lavender</t>
        </is>
      </c>
      <c r="B24" s="7" t="inlineStr">
        <is>
          <t>Filtered Water (L)</t>
        </is>
      </c>
      <c r="C24" s="7" t="n">
        <v>175</v>
      </c>
      <c r="D24" s="7" t="inlineStr">
        <is>
          <t>L</t>
        </is>
      </c>
      <c r="E24" s="7" t="inlineStr"/>
    </row>
    <row r="25" ht="18" customHeight="1">
      <c r="A25" s="7" t="inlineStr">
        <is>
          <t>Blueberry Lavender</t>
        </is>
      </c>
      <c r="B25" s="7" t="inlineStr">
        <is>
          <t>Glass Bottles (500mL)</t>
        </is>
      </c>
      <c r="C25" s="7" t="n">
        <v>400</v>
      </c>
      <c r="D25" s="7" t="inlineStr">
        <is>
          <t>qty</t>
        </is>
      </c>
      <c r="E25" s="7" t="inlineStr"/>
    </row>
    <row r="26" ht="18" customHeight="1">
      <c r="A26" s="7" t="inlineStr">
        <is>
          <t>Blueberry Lavender</t>
        </is>
      </c>
      <c r="B26" s="7" t="inlineStr">
        <is>
          <t>Bottle Caps</t>
        </is>
      </c>
      <c r="C26" s="7" t="n">
        <v>400</v>
      </c>
      <c r="D26" s="7" t="inlineStr">
        <is>
          <t>qty</t>
        </is>
      </c>
      <c r="E26" s="7" t="inlineStr"/>
    </row>
    <row r="27" ht="18" customHeight="1">
      <c r="A27" s="7" t="inlineStr">
        <is>
          <t>Blueberry Lavender</t>
        </is>
      </c>
      <c r="B27" s="7" t="inlineStr">
        <is>
          <t>Labels</t>
        </is>
      </c>
      <c r="C27" s="7" t="n">
        <v>400</v>
      </c>
      <c r="D27" s="7" t="inlineStr">
        <is>
          <t>qty</t>
        </is>
      </c>
      <c r="E27" s="7" t="inlineStr"/>
    </row>
    <row r="28" ht="18" customHeight="1">
      <c r="A28" s="8" t="inlineStr">
        <is>
          <t>Raspberry Rose</t>
        </is>
      </c>
      <c r="B28" s="8" t="inlineStr">
        <is>
          <t>Black Tea (kg)</t>
        </is>
      </c>
      <c r="C28" s="8" t="n">
        <v>2</v>
      </c>
      <c r="D28" s="8" t="inlineStr">
        <is>
          <t>kg</t>
        </is>
      </c>
      <c r="E28" s="8" t="inlineStr"/>
    </row>
    <row r="29" ht="18" customHeight="1">
      <c r="A29" s="8" t="inlineStr">
        <is>
          <t>Raspberry Rose</t>
        </is>
      </c>
      <c r="B29" s="8" t="inlineStr">
        <is>
          <t>Cane Sugar (kg)</t>
        </is>
      </c>
      <c r="C29" s="8" t="n">
        <v>14</v>
      </c>
      <c r="D29" s="8" t="inlineStr">
        <is>
          <t>kg</t>
        </is>
      </c>
      <c r="E29" s="8" t="inlineStr"/>
    </row>
    <row r="30" ht="18" customHeight="1">
      <c r="A30" s="8" t="inlineStr">
        <is>
          <t>Raspberry Rose</t>
        </is>
      </c>
      <c r="B30" s="8" t="inlineStr">
        <is>
          <t>SCOBY Starter Culture</t>
        </is>
      </c>
      <c r="C30" s="8" t="n">
        <v>1</v>
      </c>
      <c r="D30" s="8" t="inlineStr">
        <is>
          <t>qty</t>
        </is>
      </c>
      <c r="E30" s="8" t="inlineStr"/>
    </row>
    <row r="31" ht="18" customHeight="1">
      <c r="A31" s="8" t="inlineStr">
        <is>
          <t>Raspberry Rose</t>
        </is>
      </c>
      <c r="B31" s="8" t="inlineStr">
        <is>
          <t>Raspberry Puree (kg)</t>
        </is>
      </c>
      <c r="C31" s="8" t="n">
        <v>7</v>
      </c>
      <c r="D31" s="8" t="inlineStr">
        <is>
          <t>kg</t>
        </is>
      </c>
      <c r="E31" s="8" t="inlineStr">
        <is>
          <t>2F addition</t>
        </is>
      </c>
    </row>
    <row r="32" ht="18" customHeight="1">
      <c r="A32" s="8" t="inlineStr">
        <is>
          <t>Raspberry Rose</t>
        </is>
      </c>
      <c r="B32" s="8" t="inlineStr">
        <is>
          <t>Rose Water (L)</t>
        </is>
      </c>
      <c r="C32" s="8" t="n">
        <v>2</v>
      </c>
      <c r="D32" s="8" t="inlineStr">
        <is>
          <t>L</t>
        </is>
      </c>
      <c r="E32" s="8" t="inlineStr">
        <is>
          <t>2F addition</t>
        </is>
      </c>
    </row>
    <row r="33" ht="18" customHeight="1">
      <c r="A33" s="8" t="inlineStr">
        <is>
          <t>Raspberry Rose</t>
        </is>
      </c>
      <c r="B33" s="8" t="inlineStr">
        <is>
          <t>Filtered Water (L)</t>
        </is>
      </c>
      <c r="C33" s="8" t="n">
        <v>175</v>
      </c>
      <c r="D33" s="8" t="inlineStr">
        <is>
          <t>L</t>
        </is>
      </c>
      <c r="E33" s="8" t="inlineStr"/>
    </row>
    <row r="34" ht="18" customHeight="1">
      <c r="A34" s="8" t="inlineStr">
        <is>
          <t>Raspberry Rose</t>
        </is>
      </c>
      <c r="B34" s="8" t="inlineStr">
        <is>
          <t>Glass Bottles (500mL)</t>
        </is>
      </c>
      <c r="C34" s="8" t="n">
        <v>400</v>
      </c>
      <c r="D34" s="8" t="inlineStr">
        <is>
          <t>qty</t>
        </is>
      </c>
      <c r="E34" s="8" t="inlineStr"/>
    </row>
    <row r="35" ht="18" customHeight="1">
      <c r="A35" s="8" t="inlineStr">
        <is>
          <t>Raspberry Rose</t>
        </is>
      </c>
      <c r="B35" s="8" t="inlineStr">
        <is>
          <t>Bottle Caps</t>
        </is>
      </c>
      <c r="C35" s="8" t="n">
        <v>400</v>
      </c>
      <c r="D35" s="8" t="inlineStr">
        <is>
          <t>qty</t>
        </is>
      </c>
      <c r="E35" s="8" t="inlineStr"/>
    </row>
    <row r="36" ht="18" customHeight="1">
      <c r="A36" s="8" t="inlineStr">
        <is>
          <t>Raspberry Rose</t>
        </is>
      </c>
      <c r="B36" s="8" t="inlineStr">
        <is>
          <t>Labels</t>
        </is>
      </c>
      <c r="C36" s="8" t="n">
        <v>400</v>
      </c>
      <c r="D36" s="8" t="inlineStr">
        <is>
          <t>qty</t>
        </is>
      </c>
      <c r="E36" s="8" t="inlineStr"/>
    </row>
    <row r="37" ht="18" customHeight="1">
      <c r="A37" s="9" t="inlineStr">
        <is>
          <t>Mango Turmeric</t>
        </is>
      </c>
      <c r="B37" s="9" t="inlineStr">
        <is>
          <t>Green Tea (kg)</t>
        </is>
      </c>
      <c r="C37" s="9" t="n">
        <v>2</v>
      </c>
      <c r="D37" s="9" t="inlineStr">
        <is>
          <t>kg</t>
        </is>
      </c>
      <c r="E37" s="9" t="inlineStr"/>
    </row>
    <row r="38" ht="18" customHeight="1">
      <c r="A38" s="9" t="inlineStr">
        <is>
          <t>Mango Turmeric</t>
        </is>
      </c>
      <c r="B38" s="9" t="inlineStr">
        <is>
          <t>Cane Sugar (kg)</t>
        </is>
      </c>
      <c r="C38" s="9" t="n">
        <v>14</v>
      </c>
      <c r="D38" s="9" t="inlineStr">
        <is>
          <t>kg</t>
        </is>
      </c>
      <c r="E38" s="9" t="inlineStr"/>
    </row>
    <row r="39" ht="18" customHeight="1">
      <c r="A39" s="9" t="inlineStr">
        <is>
          <t>Mango Turmeric</t>
        </is>
      </c>
      <c r="B39" s="9" t="inlineStr">
        <is>
          <t>SCOBY Starter Culture</t>
        </is>
      </c>
      <c r="C39" s="9" t="n">
        <v>1</v>
      </c>
      <c r="D39" s="9" t="inlineStr">
        <is>
          <t>qty</t>
        </is>
      </c>
      <c r="E39" s="9" t="inlineStr"/>
    </row>
    <row r="40" ht="18" customHeight="1">
      <c r="A40" s="9" t="inlineStr">
        <is>
          <t>Mango Turmeric</t>
        </is>
      </c>
      <c r="B40" s="9" t="inlineStr">
        <is>
          <t>Mango Puree (kg)</t>
        </is>
      </c>
      <c r="C40" s="9" t="n">
        <v>9</v>
      </c>
      <c r="D40" s="9" t="inlineStr">
        <is>
          <t>kg</t>
        </is>
      </c>
      <c r="E40" s="9" t="inlineStr">
        <is>
          <t>Alphonso mango</t>
        </is>
      </c>
    </row>
    <row r="41" ht="18" customHeight="1">
      <c r="A41" s="9" t="inlineStr">
        <is>
          <t>Mango Turmeric</t>
        </is>
      </c>
      <c r="B41" s="9" t="inlineStr">
        <is>
          <t>Turmeric Powder (kg)</t>
        </is>
      </c>
      <c r="C41" s="9" t="n">
        <v>0.5</v>
      </c>
      <c r="D41" s="9" t="inlineStr">
        <is>
          <t>kg</t>
        </is>
      </c>
      <c r="E41" s="9" t="inlineStr">
        <is>
          <t>Anti-inflammatory</t>
        </is>
      </c>
    </row>
    <row r="42" ht="18" customHeight="1">
      <c r="A42" s="9" t="inlineStr">
        <is>
          <t>Mango Turmeric</t>
        </is>
      </c>
      <c r="B42" s="9" t="inlineStr">
        <is>
          <t>Filtered Water (L)</t>
        </is>
      </c>
      <c r="C42" s="9" t="n">
        <v>175</v>
      </c>
      <c r="D42" s="9" t="inlineStr">
        <is>
          <t>L</t>
        </is>
      </c>
      <c r="E42" s="9" t="inlineStr"/>
    </row>
    <row r="43" ht="18" customHeight="1">
      <c r="A43" s="9" t="inlineStr">
        <is>
          <t>Mango Turmeric</t>
        </is>
      </c>
      <c r="B43" s="9" t="inlineStr">
        <is>
          <t>Glass Bottles (500mL)</t>
        </is>
      </c>
      <c r="C43" s="9" t="n">
        <v>400</v>
      </c>
      <c r="D43" s="9" t="inlineStr">
        <is>
          <t>qty</t>
        </is>
      </c>
      <c r="E43" s="9" t="inlineStr"/>
    </row>
    <row r="44" ht="18" customHeight="1">
      <c r="A44" s="9" t="inlineStr">
        <is>
          <t>Mango Turmeric</t>
        </is>
      </c>
      <c r="B44" s="9" t="inlineStr">
        <is>
          <t>Bottle Caps</t>
        </is>
      </c>
      <c r="C44" s="9" t="n">
        <v>400</v>
      </c>
      <c r="D44" s="9" t="inlineStr">
        <is>
          <t>qty</t>
        </is>
      </c>
      <c r="E44" s="9" t="inlineStr"/>
    </row>
    <row r="45" ht="18" customHeight="1">
      <c r="A45" s="9" t="inlineStr">
        <is>
          <t>Mango Turmeric</t>
        </is>
      </c>
      <c r="B45" s="9" t="inlineStr">
        <is>
          <t>Labels</t>
        </is>
      </c>
      <c r="C45" s="9" t="n">
        <v>400</v>
      </c>
      <c r="D45" s="9" t="inlineStr">
        <is>
          <t>qty</t>
        </is>
      </c>
      <c r="E45" s="9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14" customWidth="1" min="3" max="3"/>
    <col width="17" customWidth="1" min="4" max="4"/>
    <col width="22" customWidth="1" min="5" max="5"/>
    <col width="22" customWidth="1" min="6" max="6"/>
    <col width="34" customWidth="1" min="7" max="7"/>
  </cols>
  <sheetData>
    <row r="1" ht="32" customHeight="1">
      <c r="A1" s="1" t="inlineStr">
        <is>
          <t>🏭  FERMENTATION TANK INVENTORY</t>
        </is>
      </c>
    </row>
    <row r="2" ht="24" customHeight="1">
      <c r="A2" s="2" t="inlineStr">
        <is>
          <t>Tank_ID</t>
        </is>
      </c>
      <c r="B2" s="2" t="inlineStr">
        <is>
          <t>Capacity_Liters</t>
        </is>
      </c>
      <c r="C2" s="2" t="inlineStr">
        <is>
          <t>Status</t>
        </is>
      </c>
      <c r="D2" s="2" t="inlineStr">
        <is>
          <t>Available_Date</t>
        </is>
      </c>
      <c r="E2" s="2" t="inlineStr">
        <is>
          <t>Material</t>
        </is>
      </c>
      <c r="F2" s="2" t="inlineStr">
        <is>
          <t>Temperature_Control</t>
        </is>
      </c>
      <c r="G2" s="2" t="inlineStr">
        <is>
          <t>Notes</t>
        </is>
      </c>
    </row>
    <row r="3" ht="18" customHeight="1">
      <c r="A3" s="3" t="inlineStr">
        <is>
          <t>T-01</t>
        </is>
      </c>
      <c r="B3" s="3" t="n">
        <v>200</v>
      </c>
      <c r="C3" s="5" t="inlineStr">
        <is>
          <t>Available</t>
        </is>
      </c>
      <c r="D3" s="3" t="inlineStr">
        <is>
          <t>2026-03-15</t>
        </is>
      </c>
      <c r="E3" s="3" t="inlineStr">
        <is>
          <t>Stainless Steel 304</t>
        </is>
      </c>
      <c r="F3" s="3" t="inlineStr">
        <is>
          <t>Yes</t>
        </is>
      </c>
      <c r="G3" s="3" t="inlineStr">
        <is>
          <t>Primary fermentation</t>
        </is>
      </c>
    </row>
    <row r="4" ht="18" customHeight="1">
      <c r="A4" s="4" t="inlineStr">
        <is>
          <t>T-02</t>
        </is>
      </c>
      <c r="B4" s="4" t="n">
        <v>200</v>
      </c>
      <c r="C4" s="5" t="inlineStr">
        <is>
          <t>Available</t>
        </is>
      </c>
      <c r="D4" s="4" t="inlineStr">
        <is>
          <t>2026-03-15</t>
        </is>
      </c>
      <c r="E4" s="4" t="inlineStr">
        <is>
          <t>Stainless Steel 304</t>
        </is>
      </c>
      <c r="F4" s="4" t="inlineStr">
        <is>
          <t>Yes</t>
        </is>
      </c>
      <c r="G4" s="4" t="inlineStr">
        <is>
          <t>Primary fermentation</t>
        </is>
      </c>
    </row>
    <row r="5" ht="18" customHeight="1">
      <c r="A5" s="3" t="inlineStr">
        <is>
          <t>T-03</t>
        </is>
      </c>
      <c r="B5" s="3" t="n">
        <v>200</v>
      </c>
      <c r="C5" s="6" t="inlineStr">
        <is>
          <t>In Use</t>
        </is>
      </c>
      <c r="D5" s="3" t="inlineStr">
        <is>
          <t>2026-03-18</t>
        </is>
      </c>
      <c r="E5" s="3" t="inlineStr">
        <is>
          <t>Stainless Steel 304</t>
        </is>
      </c>
      <c r="F5" s="3" t="inlineStr">
        <is>
          <t>Yes</t>
        </is>
      </c>
      <c r="G5" s="3" t="inlineStr">
        <is>
          <t>Currently fermenting Original</t>
        </is>
      </c>
    </row>
    <row r="6" ht="18" customHeight="1">
      <c r="A6" s="4" t="inlineStr">
        <is>
          <t>T-04</t>
        </is>
      </c>
      <c r="B6" s="4" t="n">
        <v>150</v>
      </c>
      <c r="C6" s="5" t="inlineStr">
        <is>
          <t>Available</t>
        </is>
      </c>
      <c r="D6" s="4" t="inlineStr">
        <is>
          <t>2026-03-15</t>
        </is>
      </c>
      <c r="E6" s="4" t="inlineStr">
        <is>
          <t>Stainless Steel 316</t>
        </is>
      </c>
      <c r="F6" s="4" t="inlineStr">
        <is>
          <t>Yes</t>
        </is>
      </c>
      <c r="G6" s="4" t="inlineStr">
        <is>
          <t>Small batch specialty</t>
        </is>
      </c>
    </row>
    <row r="7" ht="18" customHeight="1">
      <c r="A7" s="3" t="inlineStr">
        <is>
          <t>T-05</t>
        </is>
      </c>
      <c r="B7" s="3" t="n">
        <v>150</v>
      </c>
      <c r="C7" s="6" t="inlineStr">
        <is>
          <t>In Use</t>
        </is>
      </c>
      <c r="D7" s="3" t="inlineStr">
        <is>
          <t>2026-03-20</t>
        </is>
      </c>
      <c r="E7" s="3" t="inlineStr">
        <is>
          <t>Stainless Steel 316</t>
        </is>
      </c>
      <c r="F7" s="3" t="inlineStr">
        <is>
          <t>Yes</t>
        </is>
      </c>
      <c r="G7" s="3" t="inlineStr">
        <is>
          <t>Currently fermenting Ginger</t>
        </is>
      </c>
    </row>
    <row r="8" ht="18" customHeight="1">
      <c r="A8" s="4" t="inlineStr">
        <is>
          <t>T-06</t>
        </is>
      </c>
      <c r="B8" s="4" t="n">
        <v>100</v>
      </c>
      <c r="C8" s="8" t="inlineStr">
        <is>
          <t>Maintenance</t>
        </is>
      </c>
      <c r="D8" s="4" t="inlineStr">
        <is>
          <t>2026-03-22</t>
        </is>
      </c>
      <c r="E8" s="4" t="inlineStr">
        <is>
          <t>Polyethylene HDPE</t>
        </is>
      </c>
      <c r="F8" s="4" t="inlineStr">
        <is>
          <t>No</t>
        </is>
      </c>
      <c r="G8" s="4" t="inlineStr">
        <is>
          <t>Scheduled maintenance until +7d</t>
        </is>
      </c>
    </row>
    <row r="9" ht="18" customHeight="1">
      <c r="A9" s="3" t="inlineStr">
        <is>
          <t>T-07</t>
        </is>
      </c>
      <c r="B9" s="3" t="n">
        <v>200</v>
      </c>
      <c r="C9" s="5" t="inlineStr">
        <is>
          <t>Available</t>
        </is>
      </c>
      <c r="D9" s="3" t="inlineStr">
        <is>
          <t>2026-03-15</t>
        </is>
      </c>
      <c r="E9" s="3" t="inlineStr">
        <is>
          <t>Stainless Steel 304</t>
        </is>
      </c>
      <c r="F9" s="3" t="inlineStr">
        <is>
          <t>Yes</t>
        </is>
      </c>
      <c r="G9" s="3" t="inlineStr">
        <is>
          <t>Secondary/flavor tank</t>
        </is>
      </c>
    </row>
    <row r="10" ht="18" customHeight="1">
      <c r="A10" s="4" t="inlineStr">
        <is>
          <t>T-08</t>
        </is>
      </c>
      <c r="B10" s="4" t="n">
        <v>200</v>
      </c>
      <c r="C10" s="5" t="inlineStr">
        <is>
          <t>Available</t>
        </is>
      </c>
      <c r="D10" s="4" t="inlineStr">
        <is>
          <t>2026-03-15</t>
        </is>
      </c>
      <c r="E10" s="4" t="inlineStr">
        <is>
          <t>Stainless Steel 304</t>
        </is>
      </c>
      <c r="F10" s="4" t="inlineStr">
        <is>
          <t>Yes</t>
        </is>
      </c>
      <c r="G10" s="4" t="inlineStr">
        <is>
          <t>Secondary/flavor tank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9" customWidth="1" min="3" max="3"/>
    <col width="26" customWidth="1" min="4" max="4"/>
    <col width="17" customWidth="1" min="5" max="5"/>
    <col width="10" customWidth="1" min="6" max="6"/>
    <col width="29" customWidth="1" min="7" max="7"/>
  </cols>
  <sheetData>
    <row r="1" ht="32" customHeight="1">
      <c r="A1" s="1" t="inlineStr">
        <is>
          <t>🍾  BOTTLING LINE CAPACITY</t>
        </is>
      </c>
    </row>
    <row r="2" ht="24" customHeight="1">
      <c r="A2" s="2" t="inlineStr">
        <is>
          <t>Line_ID</t>
        </is>
      </c>
      <c r="B2" s="2" t="inlineStr">
        <is>
          <t>Line_Name</t>
        </is>
      </c>
      <c r="C2" s="2" t="inlineStr">
        <is>
          <t>Bottles_Per_Hour</t>
        </is>
      </c>
      <c r="D2" s="2" t="inlineStr">
        <is>
          <t>Operating_Hours_Per_Day</t>
        </is>
      </c>
      <c r="E2" s="2" t="inlineStr">
        <is>
          <t>Daily_Capacity</t>
        </is>
      </c>
      <c r="F2" s="2" t="inlineStr">
        <is>
          <t>Status</t>
        </is>
      </c>
      <c r="G2" s="2" t="inlineStr">
        <is>
          <t>Notes</t>
        </is>
      </c>
    </row>
    <row r="3" ht="18" customHeight="1">
      <c r="A3" s="3" t="inlineStr">
        <is>
          <t>BL-01</t>
        </is>
      </c>
      <c r="B3" s="3" t="inlineStr">
        <is>
          <t>Main Bottling Line</t>
        </is>
      </c>
      <c r="C3" s="3" t="n">
        <v>300</v>
      </c>
      <c r="D3" s="3" t="n">
        <v>8</v>
      </c>
      <c r="E3" s="3">
        <f>C3*D3</f>
        <v/>
      </c>
      <c r="F3" s="3" t="inlineStr">
        <is>
          <t>Active</t>
        </is>
      </c>
      <c r="G3" s="3" t="inlineStr">
        <is>
          <t>Automated rinse-fill-cap</t>
        </is>
      </c>
    </row>
    <row r="4" ht="18" customHeight="1">
      <c r="A4" s="4" t="inlineStr">
        <is>
          <t>BL-02</t>
        </is>
      </c>
      <c r="B4" s="4" t="inlineStr">
        <is>
          <t>Secondary Line</t>
        </is>
      </c>
      <c r="C4" s="4" t="n">
        <v>150</v>
      </c>
      <c r="D4" s="4" t="n">
        <v>6</v>
      </c>
      <c r="E4" s="4">
        <f>C4*D4</f>
        <v/>
      </c>
      <c r="F4" s="4" t="inlineStr">
        <is>
          <t>Active</t>
        </is>
      </c>
      <c r="G4" s="4" t="inlineStr">
        <is>
          <t>Semi-automated</t>
        </is>
      </c>
    </row>
    <row r="5" ht="18" customHeight="1">
      <c r="A5" s="3" t="inlineStr">
        <is>
          <t>BL-03</t>
        </is>
      </c>
      <c r="B5" s="3" t="inlineStr">
        <is>
          <t>Label Application</t>
        </is>
      </c>
      <c r="C5" s="3" t="n">
        <v>500</v>
      </c>
      <c r="D5" s="3" t="n">
        <v>8</v>
      </c>
      <c r="E5" s="3">
        <f>C5*D5</f>
        <v/>
      </c>
      <c r="F5" s="3" t="inlineStr">
        <is>
          <t>Active</t>
        </is>
      </c>
      <c r="G5" s="3" t="inlineStr">
        <is>
          <t>Automated label applicator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6" customWidth="1" min="4" max="4"/>
    <col width="21" customWidth="1" min="5" max="5"/>
    <col width="19" customWidth="1" min="6" max="6"/>
    <col width="16" customWidth="1" min="7" max="7"/>
    <col width="23" customWidth="1" min="8" max="8"/>
    <col width="18" customWidth="1" min="9" max="9"/>
    <col width="13" customWidth="1" min="10" max="10"/>
    <col width="11" customWidth="1" min="11" max="11"/>
    <col width="15" customWidth="1" min="12" max="12"/>
  </cols>
  <sheetData>
    <row r="1" ht="30" customHeight="1">
      <c r="A1" s="29" t="inlineStr">
        <is>
          <t>Date</t>
        </is>
      </c>
      <c r="B1" s="29" t="inlineStr">
        <is>
          <t>Flavor</t>
        </is>
      </c>
      <c r="C1" s="29" t="inlineStr">
        <is>
          <t>Batch_Size_Liters</t>
        </is>
      </c>
      <c r="D1" s="29" t="inlineStr">
        <is>
          <t>Assigned_Tank</t>
        </is>
      </c>
      <c r="E1" s="29" t="inlineStr">
        <is>
          <t>Fermentation_Start</t>
        </is>
      </c>
      <c r="F1" s="29" t="inlineStr">
        <is>
          <t>Fermentation_End</t>
        </is>
      </c>
      <c r="G1" s="29" t="inlineStr">
        <is>
          <t>Bottling_Date</t>
        </is>
      </c>
      <c r="H1" s="29" t="inlineStr">
        <is>
          <t>Actual_Bottling_Date</t>
        </is>
      </c>
      <c r="I1" s="29" t="inlineStr">
        <is>
          <t>Bottles_Planned</t>
        </is>
      </c>
      <c r="J1" s="29" t="inlineStr">
        <is>
          <t>Due_Date</t>
        </is>
      </c>
      <c r="K1" s="29" t="inlineStr">
        <is>
          <t>Priority</t>
        </is>
      </c>
      <c r="L1" s="29" t="inlineStr">
        <is>
          <t>Status</t>
        </is>
      </c>
    </row>
    <row r="2" ht="24" customHeight="1">
      <c r="A2" s="27" t="inlineStr">
        <is>
          <t>2026-03-15</t>
        </is>
      </c>
      <c r="B2" s="27" t="inlineStr">
        <is>
          <t>Original Kombucha</t>
        </is>
      </c>
      <c r="C2" s="27" t="n">
        <v>200</v>
      </c>
      <c r="D2" s="27" t="inlineStr">
        <is>
          <t>T-01</t>
        </is>
      </c>
      <c r="E2" s="27" t="inlineStr">
        <is>
          <t>2026-03-15</t>
        </is>
      </c>
      <c r="F2" s="27" t="inlineStr">
        <is>
          <t>2026-03-25</t>
        </is>
      </c>
      <c r="G2" s="27" t="inlineStr">
        <is>
          <t>2026-03-26</t>
        </is>
      </c>
      <c r="H2" s="27" t="inlineStr">
        <is>
          <t>2026-03-26</t>
        </is>
      </c>
      <c r="I2" s="27" t="n">
        <v>563</v>
      </c>
      <c r="J2" s="27" t="inlineStr">
        <is>
          <t>2026-03-29</t>
        </is>
      </c>
      <c r="K2" s="27" t="n">
        <v>1</v>
      </c>
      <c r="L2" s="26" t="inlineStr">
        <is>
          <t>ON_SCHEDULE</t>
        </is>
      </c>
    </row>
    <row r="3" ht="18" customHeight="1">
      <c r="A3" s="25" t="inlineStr">
        <is>
          <t>2026-03-15</t>
        </is>
      </c>
      <c r="B3" s="25" t="inlineStr">
        <is>
          <t>Original Kombucha</t>
        </is>
      </c>
      <c r="C3" s="25" t="n">
        <v>200</v>
      </c>
      <c r="D3" s="25" t="inlineStr">
        <is>
          <t>T-02</t>
        </is>
      </c>
      <c r="E3" s="25" t="inlineStr">
        <is>
          <t>2026-03-15</t>
        </is>
      </c>
      <c r="F3" s="25" t="inlineStr">
        <is>
          <t>2026-03-25</t>
        </is>
      </c>
      <c r="G3" s="25" t="inlineStr">
        <is>
          <t>2026-03-26</t>
        </is>
      </c>
      <c r="H3" s="25" t="inlineStr">
        <is>
          <t>2026-03-26</t>
        </is>
      </c>
      <c r="I3" s="25" t="n">
        <v>563</v>
      </c>
      <c r="J3" s="25" t="inlineStr">
        <is>
          <t>2026-03-29</t>
        </is>
      </c>
      <c r="K3" s="25" t="n">
        <v>1</v>
      </c>
      <c r="L3" s="26" t="inlineStr">
        <is>
          <t>ON_SCHEDULE</t>
        </is>
      </c>
    </row>
    <row r="4">
      <c r="A4" s="27" t="inlineStr">
        <is>
          <t>2026-03-15</t>
        </is>
      </c>
      <c r="B4" s="27" t="inlineStr">
        <is>
          <t>Original Kombucha</t>
        </is>
      </c>
      <c r="C4" s="27" t="n">
        <v>200</v>
      </c>
      <c r="D4" s="27" t="inlineStr">
        <is>
          <t>T-07</t>
        </is>
      </c>
      <c r="E4" s="27" t="inlineStr">
        <is>
          <t>2026-03-15</t>
        </is>
      </c>
      <c r="F4" s="27" t="inlineStr">
        <is>
          <t>2026-03-25</t>
        </is>
      </c>
      <c r="G4" s="27" t="inlineStr">
        <is>
          <t>2026-03-26</t>
        </is>
      </c>
      <c r="H4" s="27" t="inlineStr">
        <is>
          <t>2026-03-26</t>
        </is>
      </c>
      <c r="I4" s="27" t="n">
        <v>563</v>
      </c>
      <c r="J4" s="27" t="inlineStr">
        <is>
          <t>2026-03-29</t>
        </is>
      </c>
      <c r="K4" s="27" t="n">
        <v>1</v>
      </c>
      <c r="L4" s="26" t="inlineStr">
        <is>
          <t>ON_SCHEDULE</t>
        </is>
      </c>
    </row>
    <row r="5">
      <c r="A5" s="25" t="inlineStr">
        <is>
          <t>2026-03-15</t>
        </is>
      </c>
      <c r="B5" s="25" t="inlineStr">
        <is>
          <t>Original Kombucha</t>
        </is>
      </c>
      <c r="C5" s="25" t="n">
        <v>200</v>
      </c>
      <c r="D5" s="25" t="inlineStr">
        <is>
          <t>T-08</t>
        </is>
      </c>
      <c r="E5" s="25" t="inlineStr">
        <is>
          <t>2026-03-15</t>
        </is>
      </c>
      <c r="F5" s="25" t="inlineStr">
        <is>
          <t>2026-03-25</t>
        </is>
      </c>
      <c r="G5" s="25" t="inlineStr">
        <is>
          <t>2026-03-26</t>
        </is>
      </c>
      <c r="H5" s="25" t="inlineStr">
        <is>
          <t>2026-03-26</t>
        </is>
      </c>
      <c r="I5" s="25" t="n">
        <v>563</v>
      </c>
      <c r="J5" s="25" t="inlineStr">
        <is>
          <t>2026-03-29</t>
        </is>
      </c>
      <c r="K5" s="25" t="n">
        <v>1</v>
      </c>
      <c r="L5" s="26" t="inlineStr">
        <is>
          <t>ON_SCHEDULE</t>
        </is>
      </c>
    </row>
    <row r="6">
      <c r="A6" s="27" t="inlineStr">
        <is>
          <t>2026-03-15</t>
        </is>
      </c>
      <c r="B6" s="27" t="inlineStr">
        <is>
          <t>Original Kombucha</t>
        </is>
      </c>
      <c r="C6" s="27" t="n">
        <v>200</v>
      </c>
      <c r="D6" s="27" t="inlineStr">
        <is>
          <t>T-03</t>
        </is>
      </c>
      <c r="E6" s="27" t="inlineStr">
        <is>
          <t>2026-03-18</t>
        </is>
      </c>
      <c r="F6" s="27" t="inlineStr">
        <is>
          <t>2026-03-28</t>
        </is>
      </c>
      <c r="G6" s="27" t="inlineStr">
        <is>
          <t>2026-03-29</t>
        </is>
      </c>
      <c r="H6" s="27" t="inlineStr">
        <is>
          <t>2026-03-29</t>
        </is>
      </c>
      <c r="I6" s="27" t="n">
        <v>563</v>
      </c>
      <c r="J6" s="27" t="inlineStr">
        <is>
          <t>2026-03-29</t>
        </is>
      </c>
      <c r="K6" s="27" t="n">
        <v>1</v>
      </c>
      <c r="L6" s="26" t="inlineStr">
        <is>
          <t>ON_SCHEDULE</t>
        </is>
      </c>
    </row>
    <row r="7">
      <c r="A7" s="25" t="inlineStr">
        <is>
          <t>2026-03-15</t>
        </is>
      </c>
      <c r="B7" s="25" t="inlineStr">
        <is>
          <t>Original Kombucha</t>
        </is>
      </c>
      <c r="C7" s="25" t="n">
        <v>100.5</v>
      </c>
      <c r="D7" s="25" t="inlineStr">
        <is>
          <t>T-04</t>
        </is>
      </c>
      <c r="E7" s="25" t="inlineStr">
        <is>
          <t>2026-03-15</t>
        </is>
      </c>
      <c r="F7" s="25" t="inlineStr">
        <is>
          <t>2026-03-25</t>
        </is>
      </c>
      <c r="G7" s="25" t="inlineStr">
        <is>
          <t>2026-03-26</t>
        </is>
      </c>
      <c r="H7" s="25" t="inlineStr">
        <is>
          <t>2026-03-26</t>
        </is>
      </c>
      <c r="I7" s="25" t="n">
        <v>283</v>
      </c>
      <c r="J7" s="25" t="inlineStr">
        <is>
          <t>2026-03-29</t>
        </is>
      </c>
      <c r="K7" s="25" t="n">
        <v>1</v>
      </c>
      <c r="L7" s="26" t="inlineStr">
        <is>
          <t>ON_SCHEDULE</t>
        </is>
      </c>
    </row>
    <row r="8">
      <c r="A8" s="27" t="inlineStr">
        <is>
          <t>2026-03-15</t>
        </is>
      </c>
      <c r="B8" s="27" t="inlineStr">
        <is>
          <t>Ginger Lemon</t>
        </is>
      </c>
      <c r="C8" s="27" t="n">
        <v>200</v>
      </c>
      <c r="D8" s="27" t="inlineStr">
        <is>
          <t>T-01</t>
        </is>
      </c>
      <c r="E8" s="27" t="inlineStr">
        <is>
          <t>2026-03-25</t>
        </is>
      </c>
      <c r="F8" s="27" t="inlineStr">
        <is>
          <t>2026-04-04</t>
        </is>
      </c>
      <c r="G8" s="27" t="inlineStr">
        <is>
          <t>2026-04-05</t>
        </is>
      </c>
      <c r="H8" s="27" t="inlineStr">
        <is>
          <t>2026-04-05</t>
        </is>
      </c>
      <c r="I8" s="27" t="n">
        <v>563</v>
      </c>
      <c r="J8" s="27" t="inlineStr">
        <is>
          <t>2026-03-27</t>
        </is>
      </c>
      <c r="K8" s="27" t="n">
        <v>2</v>
      </c>
      <c r="L8" s="28" t="inlineStr">
        <is>
          <t>AT_RISK_LATE</t>
        </is>
      </c>
    </row>
    <row r="9">
      <c r="A9" s="25" t="inlineStr">
        <is>
          <t>2026-03-15</t>
        </is>
      </c>
      <c r="B9" s="25" t="inlineStr">
        <is>
          <t>Ginger Lemon</t>
        </is>
      </c>
      <c r="C9" s="25" t="n">
        <v>200</v>
      </c>
      <c r="D9" s="25" t="inlineStr">
        <is>
          <t>T-02</t>
        </is>
      </c>
      <c r="E9" s="25" t="inlineStr">
        <is>
          <t>2026-03-25</t>
        </is>
      </c>
      <c r="F9" s="25" t="inlineStr">
        <is>
          <t>2026-04-04</t>
        </is>
      </c>
      <c r="G9" s="25" t="inlineStr">
        <is>
          <t>2026-04-05</t>
        </is>
      </c>
      <c r="H9" s="25" t="inlineStr">
        <is>
          <t>2026-04-05</t>
        </is>
      </c>
      <c r="I9" s="25" t="n">
        <v>563</v>
      </c>
      <c r="J9" s="25" t="inlineStr">
        <is>
          <t>2026-03-27</t>
        </is>
      </c>
      <c r="K9" s="25" t="n">
        <v>2</v>
      </c>
      <c r="L9" s="28" t="inlineStr">
        <is>
          <t>AT_RISK_LATE</t>
        </is>
      </c>
    </row>
    <row r="10">
      <c r="A10" s="27" t="inlineStr">
        <is>
          <t>2026-03-15</t>
        </is>
      </c>
      <c r="B10" s="27" t="inlineStr">
        <is>
          <t>Ginger Lemon</t>
        </is>
      </c>
      <c r="C10" s="27" t="n">
        <v>61.5</v>
      </c>
      <c r="D10" s="27" t="inlineStr">
        <is>
          <t>T-05</t>
        </is>
      </c>
      <c r="E10" s="27" t="inlineStr">
        <is>
          <t>2026-03-20</t>
        </is>
      </c>
      <c r="F10" s="27" t="inlineStr">
        <is>
          <t>2026-03-30</t>
        </is>
      </c>
      <c r="G10" s="27" t="inlineStr">
        <is>
          <t>2026-03-31</t>
        </is>
      </c>
      <c r="H10" s="27" t="inlineStr">
        <is>
          <t>2026-03-31</t>
        </is>
      </c>
      <c r="I10" s="27" t="n">
        <v>173</v>
      </c>
      <c r="J10" s="27" t="inlineStr">
        <is>
          <t>2026-03-27</t>
        </is>
      </c>
      <c r="K10" s="27" t="n">
        <v>2</v>
      </c>
      <c r="L10" s="28" t="inlineStr">
        <is>
          <t>AT_RISK_LATE</t>
        </is>
      </c>
    </row>
    <row r="11">
      <c r="A11" s="25" t="inlineStr">
        <is>
          <t>2026-03-15</t>
        </is>
      </c>
      <c r="B11" s="25" t="inlineStr">
        <is>
          <t>Mango Turmeric</t>
        </is>
      </c>
      <c r="C11" s="25" t="n">
        <v>200</v>
      </c>
      <c r="D11" s="25" t="inlineStr">
        <is>
          <t>T-07</t>
        </is>
      </c>
      <c r="E11" s="25" t="inlineStr">
        <is>
          <t>2026-03-25</t>
        </is>
      </c>
      <c r="F11" s="25" t="inlineStr">
        <is>
          <t>2026-04-04</t>
        </is>
      </c>
      <c r="G11" s="25" t="inlineStr">
        <is>
          <t>2026-04-05</t>
        </is>
      </c>
      <c r="H11" s="25" t="inlineStr">
        <is>
          <t>2026-04-05</t>
        </is>
      </c>
      <c r="I11" s="25" t="n">
        <v>563</v>
      </c>
      <c r="J11" s="25" t="inlineStr">
        <is>
          <t>2026-03-31</t>
        </is>
      </c>
      <c r="K11" s="25" t="n">
        <v>2</v>
      </c>
      <c r="L11" s="28" t="inlineStr">
        <is>
          <t>AT_RISK_LATE</t>
        </is>
      </c>
    </row>
    <row r="12">
      <c r="A12" s="27" t="inlineStr">
        <is>
          <t>2026-03-15</t>
        </is>
      </c>
      <c r="B12" s="27" t="inlineStr">
        <is>
          <t>Mango Turmeric</t>
        </is>
      </c>
      <c r="C12" s="27" t="n">
        <v>190.5</v>
      </c>
      <c r="D12" s="27" t="inlineStr">
        <is>
          <t>T-08</t>
        </is>
      </c>
      <c r="E12" s="27" t="inlineStr">
        <is>
          <t>2026-03-25</t>
        </is>
      </c>
      <c r="F12" s="27" t="inlineStr">
        <is>
          <t>2026-04-04</t>
        </is>
      </c>
      <c r="G12" s="27" t="inlineStr">
        <is>
          <t>2026-04-05</t>
        </is>
      </c>
      <c r="H12" s="27" t="inlineStr">
        <is>
          <t>2026-04-05</t>
        </is>
      </c>
      <c r="I12" s="27" t="n">
        <v>536</v>
      </c>
      <c r="J12" s="27" t="inlineStr">
        <is>
          <t>2026-03-31</t>
        </is>
      </c>
      <c r="K12" s="27" t="n">
        <v>2</v>
      </c>
      <c r="L12" s="28" t="inlineStr">
        <is>
          <t>AT_RISK_LATE</t>
        </is>
      </c>
    </row>
    <row r="13">
      <c r="A13" s="25" t="inlineStr">
        <is>
          <t>2026-03-15</t>
        </is>
      </c>
      <c r="B13" s="25" t="inlineStr">
        <is>
          <t>Blueberry Lavender</t>
        </is>
      </c>
      <c r="C13" s="25" t="n">
        <v>200</v>
      </c>
      <c r="D13" s="25" t="inlineStr">
        <is>
          <t>T-03</t>
        </is>
      </c>
      <c r="E13" s="25" t="inlineStr">
        <is>
          <t>2026-03-28</t>
        </is>
      </c>
      <c r="F13" s="25" t="inlineStr">
        <is>
          <t>2026-04-07</t>
        </is>
      </c>
      <c r="G13" s="25" t="inlineStr">
        <is>
          <t>2026-04-08</t>
        </is>
      </c>
      <c r="H13" s="25" t="inlineStr">
        <is>
          <t>2026-04-08</t>
        </is>
      </c>
      <c r="I13" s="25" t="n">
        <v>563</v>
      </c>
      <c r="J13" s="25" t="inlineStr">
        <is>
          <t>2026-04-02</t>
        </is>
      </c>
      <c r="K13" s="25" t="n">
        <v>3</v>
      </c>
      <c r="L13" s="28" t="inlineStr">
        <is>
          <t>AT_RISK_LATE</t>
        </is>
      </c>
    </row>
    <row r="14">
      <c r="A14" s="27" t="inlineStr">
        <is>
          <t>2026-03-15</t>
        </is>
      </c>
      <c r="B14" s="27" t="inlineStr">
        <is>
          <t>Blueberry Lavender</t>
        </is>
      </c>
      <c r="C14" s="27" t="n">
        <v>119.5</v>
      </c>
      <c r="D14" s="27" t="inlineStr">
        <is>
          <t>T-04</t>
        </is>
      </c>
      <c r="E14" s="27" t="inlineStr">
        <is>
          <t>2026-03-25</t>
        </is>
      </c>
      <c r="F14" s="27" t="inlineStr">
        <is>
          <t>2026-04-04</t>
        </is>
      </c>
      <c r="G14" s="27" t="inlineStr">
        <is>
          <t>2026-04-05</t>
        </is>
      </c>
      <c r="H14" s="27" t="inlineStr">
        <is>
          <t>2026-04-05</t>
        </is>
      </c>
      <c r="I14" s="27" t="n">
        <v>336</v>
      </c>
      <c r="J14" s="27" t="inlineStr">
        <is>
          <t>2026-04-02</t>
        </is>
      </c>
      <c r="K14" s="27" t="n">
        <v>3</v>
      </c>
      <c r="L14" s="28" t="inlineStr">
        <is>
          <t>AT_RISK_LATE</t>
        </is>
      </c>
    </row>
    <row r="15">
      <c r="A15" s="25" t="inlineStr">
        <is>
          <t>2026-03-15</t>
        </is>
      </c>
      <c r="B15" s="25" t="inlineStr">
        <is>
          <t>Raspberry Rose</t>
        </is>
      </c>
      <c r="C15" s="25" t="n">
        <v>142</v>
      </c>
      <c r="D15" s="25" t="inlineStr">
        <is>
          <t>T-05</t>
        </is>
      </c>
      <c r="E15" s="25" t="inlineStr">
        <is>
          <t>2026-03-30</t>
        </is>
      </c>
      <c r="F15" s="25" t="inlineStr">
        <is>
          <t>2026-04-09</t>
        </is>
      </c>
      <c r="G15" s="25" t="inlineStr">
        <is>
          <t>2026-04-10</t>
        </is>
      </c>
      <c r="H15" s="25" t="inlineStr">
        <is>
          <t>2026-04-10</t>
        </is>
      </c>
      <c r="I15" s="25" t="n">
        <v>400</v>
      </c>
      <c r="J15" s="25" t="inlineStr">
        <is>
          <t>2026-04-04</t>
        </is>
      </c>
      <c r="K15" s="25" t="n">
        <v>3</v>
      </c>
      <c r="L15" s="28" t="inlineStr">
        <is>
          <t>AT_RISK_LATE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16" customWidth="1" min="3" max="3"/>
    <col width="19" customWidth="1" min="4" max="4"/>
    <col width="16" customWidth="1" min="5" max="5"/>
    <col width="13" customWidth="1" min="6" max="6"/>
    <col width="35" customWidth="1" min="7" max="7"/>
  </cols>
  <sheetData>
    <row r="1" ht="32" customHeight="1">
      <c r="A1" s="1" t="inlineStr">
        <is>
          <t>📊  ACTUAL PRODUCTION LOG</t>
        </is>
      </c>
    </row>
    <row r="2" ht="24" customHeight="1">
      <c r="A2" s="2" t="inlineStr">
        <is>
          <t>Date</t>
        </is>
      </c>
      <c r="B2" s="2" t="inlineStr">
        <is>
          <t>Flavor</t>
        </is>
      </c>
      <c r="C2" s="2" t="inlineStr">
        <is>
          <t>Assigned_Tank</t>
        </is>
      </c>
      <c r="D2" s="2" t="inlineStr">
        <is>
          <t>Produced_Bottles</t>
        </is>
      </c>
      <c r="E2" s="2" t="inlineStr">
        <is>
          <t>Waste_Bottles</t>
        </is>
      </c>
      <c r="F2" s="2" t="inlineStr">
        <is>
          <t>Yield_Pct</t>
        </is>
      </c>
      <c r="G2" s="2" t="inlineStr">
        <is>
          <t>Remarks</t>
        </is>
      </c>
    </row>
    <row r="3" ht="18" customHeight="1">
      <c r="A3" s="3" t="inlineStr">
        <is>
          <t>2026-03-13</t>
        </is>
      </c>
      <c r="B3" s="3" t="inlineStr">
        <is>
          <t>Original Kombucha</t>
        </is>
      </c>
      <c r="C3" s="3" t="inlineStr">
        <is>
          <t>T-03</t>
        </is>
      </c>
      <c r="D3" s="3" t="n">
        <v>390</v>
      </c>
      <c r="E3" s="3" t="n">
        <v>10</v>
      </c>
      <c r="F3" s="3">
        <f>E3/D3*100</f>
        <v/>
      </c>
      <c r="G3" s="3" t="inlineStr">
        <is>
          <t>Slight over-carbonation on 10 bottles</t>
        </is>
      </c>
    </row>
    <row r="4" ht="18" customHeight="1">
      <c r="A4" s="4" t="inlineStr">
        <is>
          <t>2026-03-12</t>
        </is>
      </c>
      <c r="B4" s="4" t="inlineStr">
        <is>
          <t>Ginger Lemon</t>
        </is>
      </c>
      <c r="C4" s="4" t="inlineStr">
        <is>
          <t>T-05</t>
        </is>
      </c>
      <c r="D4" s="4" t="n">
        <v>395</v>
      </c>
      <c r="E4" s="4" t="n">
        <v>5</v>
      </c>
      <c r="F4" s="4">
        <f>E4/D4*100</f>
        <v/>
      </c>
      <c r="G4" s="4" t="inlineStr">
        <is>
          <t>Production within spec</t>
        </is>
      </c>
    </row>
    <row r="5" ht="18" customHeight="1">
      <c r="A5" s="3" t="inlineStr">
        <is>
          <t>2026-03-10</t>
        </is>
      </c>
      <c r="B5" s="3" t="inlineStr">
        <is>
          <t>Blueberry Lavender</t>
        </is>
      </c>
      <c r="C5" s="3" t="inlineStr">
        <is>
          <t>T-01</t>
        </is>
      </c>
      <c r="D5" s="3" t="n">
        <v>380</v>
      </c>
      <c r="E5" s="3" t="n">
        <v>20</v>
      </c>
      <c r="F5" s="3">
        <f>E5/D5*100</f>
        <v/>
      </c>
      <c r="G5" s="3" t="inlineStr">
        <is>
          <t>Seal issue on line BL-02 — corrected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2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2" ht="20" customHeight="1">
      <c r="A2" s="10" t="inlineStr">
        <is>
          <t>KOMBUCHA BREWERY — PRODUCTION PLANNING AI AGENT</t>
        </is>
      </c>
    </row>
    <row r="3" ht="20" customHeight="1">
      <c r="A3" s="11" t="inlineStr">
        <is>
          <t>Industrial Engineering Portfolio Project</t>
        </is>
      </c>
    </row>
    <row r="4" ht="20" customHeight="1">
      <c r="A4" s="12" t="inlineStr"/>
    </row>
    <row r="5" ht="20" customHeight="1">
      <c r="A5" s="13" t="inlineStr">
        <is>
          <t>HOW TO USE THIS WORKBOOK</t>
        </is>
      </c>
    </row>
    <row r="6" ht="20" customHeight="1">
      <c r="A6" s="12" t="inlineStr">
        <is>
          <t>1. Review and update the 'Orders' sheet with current customer demand.</t>
        </is>
      </c>
    </row>
    <row r="7" ht="20" customHeight="1">
      <c r="A7" s="12" t="inlineStr">
        <is>
          <t>2. Update 'Inventory' with current stock levels.</t>
        </is>
      </c>
    </row>
    <row r="8" ht="20" customHeight="1">
      <c r="A8" s="12" t="inlineStr">
        <is>
          <t>3. Check 'Fermentation_Tanks' — update Status and Available_Date.</t>
        </is>
      </c>
    </row>
    <row r="9" ht="20" customHeight="1">
      <c r="A9" s="12" t="inlineStr">
        <is>
          <t>4. Run the Python agent:  python kombucha_agent.py</t>
        </is>
      </c>
    </row>
    <row r="10" ht="20" customHeight="1">
      <c r="A10" s="12" t="inlineStr">
        <is>
          <t>5. The agent will populate: Production_Plan, Dashboard, Bottleneck_Report, Ingredient_Alerts.</t>
        </is>
      </c>
    </row>
    <row r="11" ht="20" customHeight="1">
      <c r="A11" s="12" t="inlineStr"/>
    </row>
    <row r="12" ht="20" customHeight="1">
      <c r="A12" s="13" t="inlineStr">
        <is>
          <t>SHEETS OVERVIEW</t>
        </is>
      </c>
    </row>
    <row r="13" ht="20" customHeight="1">
      <c r="A13" s="12" t="inlineStr">
        <is>
          <t xml:space="preserve">  Orders              → Customer demand and due dates</t>
        </is>
      </c>
    </row>
    <row r="14" ht="20" customHeight="1">
      <c r="A14" s="12" t="inlineStr">
        <is>
          <t xml:space="preserve">  Inventory           → Raw material and packaging stock</t>
        </is>
      </c>
    </row>
    <row r="15" ht="20" customHeight="1">
      <c r="A15" s="12" t="inlineStr">
        <is>
          <t xml:space="preserve">  Recipe_BOM          → Bill of materials per flavor</t>
        </is>
      </c>
    </row>
    <row r="16" ht="20" customHeight="1">
      <c r="A16" s="12" t="inlineStr">
        <is>
          <t xml:space="preserve">  Fermentation_Tanks  → Tank capacity and availability</t>
        </is>
      </c>
    </row>
    <row r="17" ht="20" customHeight="1">
      <c r="A17" s="12" t="inlineStr">
        <is>
          <t xml:space="preserve">  Bottling_Line       → Line capacity constraints</t>
        </is>
      </c>
    </row>
    <row r="18" ht="20" customHeight="1">
      <c r="A18" s="12" t="inlineStr">
        <is>
          <t xml:space="preserve">  Production_Plan     → AUTO-GENERATED brewing schedule</t>
        </is>
      </c>
    </row>
    <row r="19" ht="20" customHeight="1">
      <c r="A19" s="12" t="inlineStr">
        <is>
          <t xml:space="preserve">  Actual_Production   → Manual production log</t>
        </is>
      </c>
    </row>
    <row r="20" ht="20" customHeight="1">
      <c r="A20" s="12" t="inlineStr">
        <is>
          <t xml:space="preserve">  Dashboard           → AUTO-GENERATED KPI dashboard</t>
        </is>
      </c>
    </row>
    <row r="21" ht="20" customHeight="1">
      <c r="A21" s="12" t="inlineStr">
        <is>
          <t xml:space="preserve">  Bottleneck_Report   → AUTO-GENERATED insights &amp; alerts</t>
        </is>
      </c>
    </row>
    <row r="22" ht="20" customHeight="1">
      <c r="A22" s="12" t="inlineStr">
        <is>
          <t xml:space="preserve">  Ingredient_Alerts   → AUTO-GENERATED shortage alerts</t>
        </is>
      </c>
    </row>
    <row r="23" ht="20" customHeight="1">
      <c r="A23" s="12" t="inlineStr"/>
    </row>
    <row r="24" ht="20" customHeight="1">
      <c r="A24" s="13" t="inlineStr">
        <is>
          <t>KEY PARAMETERS (edit in kombucha_agent.py)</t>
        </is>
      </c>
    </row>
    <row r="25" ht="20" customHeight="1">
      <c r="A25" s="12" t="inlineStr">
        <is>
          <t xml:space="preserve">  LITERS_PER_BOTTLE  = 0.355  (12 oz standard bottle)</t>
        </is>
      </c>
    </row>
    <row r="26" ht="20" customHeight="1">
      <c r="A26" s="12" t="inlineStr">
        <is>
          <t xml:space="preserve">  FERMENTATION_DAYS  = 10     (adjust for your process)</t>
        </is>
      </c>
    </row>
    <row r="27" ht="20" customHeight="1">
      <c r="A27" s="12" t="inlineStr">
        <is>
          <t xml:space="preserve">  PLANNING_HORIZON   = 21     (days to plan ahead)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80" customWidth="1" min="4" max="4"/>
  </cols>
  <sheetData>
    <row r="1" ht="36" customHeight="1">
      <c r="A1" s="30" t="inlineStr">
        <is>
          <t>🔍  BOTTLENECK &amp; INSIGHTS REPORT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Severity</t>
        </is>
      </c>
      <c r="D2" s="2" t="inlineStr">
        <is>
          <t>Message</t>
        </is>
      </c>
    </row>
    <row r="3" ht="25" customHeight="1">
      <c r="A3" s="31" t="n">
        <v>1</v>
      </c>
      <c r="B3" s="31" t="inlineStr">
        <is>
          <t>TANK_STATUS</t>
        </is>
      </c>
      <c r="C3" s="32" t="inlineStr">
        <is>
          <t>INFO</t>
        </is>
      </c>
      <c r="D3" s="31" t="inlineStr">
        <is>
          <t>Tank T-03 will become available on 2026-03-18.</t>
        </is>
      </c>
    </row>
    <row r="4" ht="25" customHeight="1">
      <c r="A4" s="31" t="n">
        <v>2</v>
      </c>
      <c r="B4" s="31" t="inlineStr">
        <is>
          <t>TANK_STATUS</t>
        </is>
      </c>
      <c r="C4" s="32" t="inlineStr">
        <is>
          <t>INFO</t>
        </is>
      </c>
      <c r="D4" s="31" t="inlineStr">
        <is>
          <t>Tank T-05 will become available on 2026-03-20.</t>
        </is>
      </c>
    </row>
    <row r="5" ht="25" customHeight="1">
      <c r="A5" s="31" t="n">
        <v>3</v>
      </c>
      <c r="B5" s="31" t="inlineStr">
        <is>
          <t>TANK_STATUS</t>
        </is>
      </c>
      <c r="C5" s="32" t="inlineStr">
        <is>
          <t>INFO</t>
        </is>
      </c>
      <c r="D5" s="31" t="inlineStr">
        <is>
          <t>Tank T-06 will become available on 2026-03-22.</t>
        </is>
      </c>
    </row>
    <row r="6" ht="25" customHeight="1">
      <c r="A6" s="31" t="n">
        <v>4</v>
      </c>
      <c r="B6" s="31" t="inlineStr">
        <is>
          <t>INGREDIENT_SHORTAGE</t>
        </is>
      </c>
      <c r="C6" s="33" t="inlineStr">
        <is>
          <t>HIGH</t>
        </is>
      </c>
      <c r="D6" s="31" t="inlineStr">
        <is>
          <t>🔴  SHORTAGE: 'Cane Sugar (kg)' needs 96.0 kg but only 80 in stock  (short by 16.0)</t>
        </is>
      </c>
    </row>
    <row r="7" ht="25" customHeight="1">
      <c r="A7" s="31" t="n">
        <v>5</v>
      </c>
      <c r="B7" s="31" t="inlineStr">
        <is>
          <t>INGREDIENT_SHORTAGE</t>
        </is>
      </c>
      <c r="C7" s="33" t="inlineStr">
        <is>
          <t>HIGH</t>
        </is>
      </c>
      <c r="D7" s="31" t="inlineStr">
        <is>
          <t>🔴  SHORTAGE: 'Ginger Extract (L)' needs 12.0 L but only 8 in stock  (short by 4.0)</t>
        </is>
      </c>
    </row>
    <row r="8" ht="25" customHeight="1">
      <c r="A8" s="31" t="n">
        <v>6</v>
      </c>
      <c r="B8" s="31" t="inlineStr">
        <is>
          <t>INGREDIENT_SHORTAGE</t>
        </is>
      </c>
      <c r="C8" s="33" t="inlineStr">
        <is>
          <t>HIGH</t>
        </is>
      </c>
      <c r="D8" s="31" t="inlineStr">
        <is>
          <t>🔴  SHORTAGE: 'Lemon Juice (L)' needs 18.0 L but only 15 in stock  (short by 3.0)</t>
        </is>
      </c>
    </row>
    <row r="9" ht="25" customHeight="1">
      <c r="A9" s="31" t="n">
        <v>7</v>
      </c>
      <c r="B9" s="31" t="inlineStr">
        <is>
          <t>INGREDIENT_SHORTAGE</t>
        </is>
      </c>
      <c r="C9" s="33" t="inlineStr">
        <is>
          <t>HIGH</t>
        </is>
      </c>
      <c r="D9" s="31" t="inlineStr">
        <is>
          <t>🔴  SHORTAGE: 'Mango Puree (kg)' needs 18.0 kg but only 10 in stock  (short by 8.0)</t>
        </is>
      </c>
    </row>
    <row r="10" ht="25" customHeight="1">
      <c r="A10" s="31" t="n">
        <v>8</v>
      </c>
      <c r="B10" s="31" t="inlineStr">
        <is>
          <t>INGREDIENT_SHORTAGE</t>
        </is>
      </c>
      <c r="C10" s="33" t="inlineStr">
        <is>
          <t>HIGH</t>
        </is>
      </c>
      <c r="D10" s="31" t="inlineStr">
        <is>
          <t>🔴  SHORTAGE: 'Blueberry Puree (kg)' needs 16.0 kg but only 6 in stock  (short by 10.0)</t>
        </is>
      </c>
    </row>
    <row r="11" ht="25" customHeight="1">
      <c r="A11" s="31" t="n">
        <v>9</v>
      </c>
      <c r="B11" s="31" t="inlineStr">
        <is>
          <t>LATE_ORDER_RISK</t>
        </is>
      </c>
      <c r="C11" s="33" t="inlineStr">
        <is>
          <t>HIGH</t>
        </is>
      </c>
      <c r="D11" s="31" t="inlineStr">
        <is>
          <t>⚠️  Ginger Lemon batch (due 2026-03-27) will bottle on 2026-04-05 – AT RISK of being late.</t>
        </is>
      </c>
    </row>
    <row r="12" ht="25" customHeight="1">
      <c r="A12" s="31" t="n">
        <v>10</v>
      </c>
      <c r="B12" s="31" t="inlineStr">
        <is>
          <t>LATE_ORDER_RISK</t>
        </is>
      </c>
      <c r="C12" s="33" t="inlineStr">
        <is>
          <t>HIGH</t>
        </is>
      </c>
      <c r="D12" s="31" t="inlineStr">
        <is>
          <t>⚠️  Ginger Lemon batch (due 2026-03-27) will bottle on 2026-04-05 – AT RISK of being late.</t>
        </is>
      </c>
    </row>
    <row r="13" ht="25" customHeight="1">
      <c r="A13" s="31" t="n">
        <v>11</v>
      </c>
      <c r="B13" s="31" t="inlineStr">
        <is>
          <t>LATE_ORDER_RISK</t>
        </is>
      </c>
      <c r="C13" s="33" t="inlineStr">
        <is>
          <t>HIGH</t>
        </is>
      </c>
      <c r="D13" s="31" t="inlineStr">
        <is>
          <t>⚠️  Ginger Lemon batch (due 2026-03-27) will bottle on 2026-03-31 – AT RISK of being late.</t>
        </is>
      </c>
    </row>
    <row r="14" ht="25" customHeight="1">
      <c r="A14" s="31" t="n">
        <v>12</v>
      </c>
      <c r="B14" s="31" t="inlineStr">
        <is>
          <t>LATE_ORDER_RISK</t>
        </is>
      </c>
      <c r="C14" s="33" t="inlineStr">
        <is>
          <t>HIGH</t>
        </is>
      </c>
      <c r="D14" s="31" t="inlineStr">
        <is>
          <t>⚠️  Mango Turmeric batch (due 2026-03-31) will bottle on 2026-04-05 – AT RISK of being late.</t>
        </is>
      </c>
    </row>
    <row r="15" ht="25" customHeight="1">
      <c r="A15" s="31" t="n">
        <v>13</v>
      </c>
      <c r="B15" s="31" t="inlineStr">
        <is>
          <t>LATE_ORDER_RISK</t>
        </is>
      </c>
      <c r="C15" s="33" t="inlineStr">
        <is>
          <t>HIGH</t>
        </is>
      </c>
      <c r="D15" s="31" t="inlineStr">
        <is>
          <t>⚠️  Mango Turmeric batch (due 2026-03-31) will bottle on 2026-04-05 – AT RISK of being late.</t>
        </is>
      </c>
    </row>
    <row r="16" ht="25" customHeight="1">
      <c r="A16" s="31" t="n">
        <v>14</v>
      </c>
      <c r="B16" s="31" t="inlineStr">
        <is>
          <t>LATE_ORDER_RISK</t>
        </is>
      </c>
      <c r="C16" s="33" t="inlineStr">
        <is>
          <t>HIGH</t>
        </is>
      </c>
      <c r="D16" s="31" t="inlineStr">
        <is>
          <t>⚠️  Blueberry Lavender batch (due 2026-04-02) will bottle on 2026-04-08 – AT RISK of being late.</t>
        </is>
      </c>
    </row>
    <row r="17" ht="25" customHeight="1">
      <c r="A17" s="31" t="n">
        <v>15</v>
      </c>
      <c r="B17" s="31" t="inlineStr">
        <is>
          <t>LATE_ORDER_RISK</t>
        </is>
      </c>
      <c r="C17" s="33" t="inlineStr">
        <is>
          <t>HIGH</t>
        </is>
      </c>
      <c r="D17" s="31" t="inlineStr">
        <is>
          <t>⚠️  Blueberry Lavender batch (due 2026-04-02) will bottle on 2026-04-05 – AT RISK of being late.</t>
        </is>
      </c>
    </row>
    <row r="18" ht="25" customHeight="1">
      <c r="A18" s="31" t="n">
        <v>16</v>
      </c>
      <c r="B18" s="31" t="inlineStr">
        <is>
          <t>LATE_ORDER_RISK</t>
        </is>
      </c>
      <c r="C18" s="33" t="inlineStr">
        <is>
          <t>HIGH</t>
        </is>
      </c>
      <c r="D18" s="31" t="inlineStr">
        <is>
          <t>⚠️  Raspberry Rose batch (due 2026-04-04) will bottle on 2026-04-10 – AT RISK of being late.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3" customWidth="1" min="3" max="3"/>
    <col width="21" customWidth="1" min="4" max="4"/>
    <col width="13" customWidth="1" min="5" max="5"/>
    <col width="10" customWidth="1" min="6" max="6"/>
    <col width="11" customWidth="1" min="7" max="7"/>
  </cols>
  <sheetData>
    <row r="1" ht="36" customHeight="1">
      <c r="A1" s="34" t="inlineStr">
        <is>
          <t>🧪  INGREDIENT SHORTAGE &amp; LOW STOCK ALERTS</t>
        </is>
      </c>
    </row>
    <row r="2">
      <c r="A2" s="35" t="inlineStr">
        <is>
          <t>#</t>
        </is>
      </c>
      <c r="B2" s="35" t="inlineStr">
        <is>
          <t>Type</t>
        </is>
      </c>
      <c r="C2" s="35" t="inlineStr">
        <is>
          <t>Material</t>
        </is>
      </c>
      <c r="D2" s="35" t="inlineStr">
        <is>
          <t>Flavor</t>
        </is>
      </c>
      <c r="E2" s="35" t="inlineStr">
        <is>
          <t>Qty_Needed</t>
        </is>
      </c>
      <c r="F2" s="35" t="inlineStr">
        <is>
          <t>Stock</t>
        </is>
      </c>
      <c r="G2" s="35" t="inlineStr">
        <is>
          <t>Shortage</t>
        </is>
      </c>
    </row>
    <row r="3">
      <c r="A3" s="36" t="n">
        <v>1</v>
      </c>
      <c r="B3" s="36" t="inlineStr">
        <is>
          <t>SHORTAGE</t>
        </is>
      </c>
      <c r="C3" s="36" t="inlineStr">
        <is>
          <t>Cane Sugar (kg)</t>
        </is>
      </c>
      <c r="D3" s="36" t="inlineStr">
        <is>
          <t>Original Kombucha</t>
        </is>
      </c>
      <c r="E3" s="36" t="n">
        <v>96</v>
      </c>
      <c r="F3" s="36" t="n">
        <v>80</v>
      </c>
      <c r="G3" s="36" t="n">
        <v>16</v>
      </c>
    </row>
    <row r="4">
      <c r="A4" s="36" t="n">
        <v>2</v>
      </c>
      <c r="B4" s="36" t="inlineStr">
        <is>
          <t>SHORTAGE</t>
        </is>
      </c>
      <c r="C4" s="36" t="inlineStr">
        <is>
          <t>Ginger Extract (L)</t>
        </is>
      </c>
      <c r="D4" s="36" t="inlineStr">
        <is>
          <t>Ginger Lemon</t>
        </is>
      </c>
      <c r="E4" s="36" t="n">
        <v>12</v>
      </c>
      <c r="F4" s="36" t="n">
        <v>8</v>
      </c>
      <c r="G4" s="36" t="n">
        <v>4</v>
      </c>
    </row>
    <row r="5">
      <c r="A5" s="36" t="n">
        <v>3</v>
      </c>
      <c r="B5" s="36" t="inlineStr">
        <is>
          <t>SHORTAGE</t>
        </is>
      </c>
      <c r="C5" s="36" t="inlineStr">
        <is>
          <t>Lemon Juice (L)</t>
        </is>
      </c>
      <c r="D5" s="36" t="inlineStr">
        <is>
          <t>Ginger Lemon</t>
        </is>
      </c>
      <c r="E5" s="36" t="n">
        <v>18</v>
      </c>
      <c r="F5" s="36" t="n">
        <v>15</v>
      </c>
      <c r="G5" s="36" t="n">
        <v>3</v>
      </c>
    </row>
    <row r="6">
      <c r="A6" s="36" t="n">
        <v>4</v>
      </c>
      <c r="B6" s="36" t="inlineStr">
        <is>
          <t>SHORTAGE</t>
        </is>
      </c>
      <c r="C6" s="36" t="inlineStr">
        <is>
          <t>Mango Puree (kg)</t>
        </is>
      </c>
      <c r="D6" s="36" t="inlineStr">
        <is>
          <t>Mango Turmeric</t>
        </is>
      </c>
      <c r="E6" s="36" t="n">
        <v>18</v>
      </c>
      <c r="F6" s="36" t="n">
        <v>10</v>
      </c>
      <c r="G6" s="36" t="n">
        <v>8</v>
      </c>
    </row>
    <row r="7">
      <c r="A7" s="36" t="n">
        <v>5</v>
      </c>
      <c r="B7" s="36" t="inlineStr">
        <is>
          <t>SHORTAGE</t>
        </is>
      </c>
      <c r="C7" s="36" t="inlineStr">
        <is>
          <t>Blueberry Puree (kg)</t>
        </is>
      </c>
      <c r="D7" s="36" t="inlineStr">
        <is>
          <t>Blueberry Lavender</t>
        </is>
      </c>
      <c r="E7" s="36" t="n">
        <v>16</v>
      </c>
      <c r="F7" s="36" t="n">
        <v>6</v>
      </c>
      <c r="G7" s="36" t="n">
        <v>10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2026-03-15T05:22:44Z</dcterms:created>
  <dcterms:modified xmlns:dcterms="http://purl.org/dc/terms/" xmlns:xsi="http://www.w3.org/2001/XMLSchema-instance" xsi:type="dcterms:W3CDTF">2026-03-15T05:23:05Z</dcterms:modified>
</cp:coreProperties>
</file>